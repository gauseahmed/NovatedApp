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>
    <mc:Choice Requires="x15">
      <x15ac:absPath xmlns:x15ac="http://schemas.microsoft.com/office/spreadsheetml/2010/11/ac" url="C:\Users\dhana\IdeaProjects\NovatedApp\cucumber-for-appian\src\test\resources\testdata\NovatedApp_Regression\"/>
    </mc:Choice>
  </mc:AlternateContent>
  <xr:revisionPtr revIDLastSave="0" documentId="13_ncr:1_{4131D4AD-DE04-461A-B25C-79C0D79AC9DD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14" l="1"/>
  <c r="AE4" i="14"/>
  <c r="D4" i="14"/>
  <c r="E4" i="14" s="1"/>
  <c r="V4" i="14" s="1"/>
  <c r="AK2" i="14"/>
  <c r="AE2" i="14"/>
  <c r="D2" i="14"/>
  <c r="E2" i="14" s="1"/>
  <c r="V2" i="14" s="1"/>
</calcChain>
</file>

<file path=xl/sharedStrings.xml><?xml version="1.0" encoding="utf-8"?>
<sst xmlns="http://schemas.openxmlformats.org/spreadsheetml/2006/main" count="316" uniqueCount="154">
  <si>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</si>
  <si>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</si>
  <si>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</si>
  <si>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</si>
  <si>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</si>
  <si>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</si>
  <si>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</si>
  <si>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</si>
  <si>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</si>
  <si>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</si>
  <si>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</si>
  <si>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</si>
  <si>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</si>
  <si>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</si>
  <si>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</si>
  <si>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</si>
  <si>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</si>
  <si>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</si>
  <si>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</si>
  <si>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</si>
  <si>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</si>
  <si>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</si>
  <si>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TC001</t>
  </si>
  <si>
    <t>N/A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</si>
  <si>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</si>
  <si>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</si>
  <si>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</si>
  <si>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</si>
  <si>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</si>
  <si>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</si>
  <si>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</si>
  <si>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Mr</t>
  </si>
  <si>
    <t>ORIX Motorpass</t>
  </si>
  <si>
    <t>Fuel Provider</t>
  </si>
  <si>
    <t>56 Juniper Cct, Stretton QLD 4116</t>
  </si>
  <si>
    <t>Delivery Address</t>
  </si>
  <si>
    <t>Request Submission Date</t>
  </si>
  <si>
    <t>Last Update Date</t>
  </si>
  <si>
    <t>Request Subtype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</si>
  <si>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</si>
  <si>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</si>
  <si>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</si>
  <si>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</si>
  <si>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</si>
  <si>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</si>
  <si>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</si>
  <si>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</si>
  <si>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</si>
  <si>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</si>
  <si>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</si>
  <si>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</si>
  <si>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</si>
  <si>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Fuel Card</t>
  </si>
  <si>
    <t>New Fuel Card</t>
  </si>
  <si>
    <t>Your Residential Address *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</si>
  <si>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</si>
  <si>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</si>
  <si>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</si>
  <si>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</si>
  <si>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</si>
  <si>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</si>
  <si>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</si>
  <si>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</si>
  <si>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</si>
  <si>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</si>
  <si>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</si>
  <si>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</si>
  <si>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</si>
  <si>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</si>
  <si>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</si>
  <si>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EXB72A</t>
  </si>
  <si>
    <t>FORD RANGER</t>
  </si>
  <si>
    <t>17 Aug 2026</t>
  </si>
  <si>
    <t>Joshua</t>
  </si>
  <si>
    <t>Milne</t>
  </si>
  <si>
    <t>0469750861</t>
  </si>
  <si>
    <t>josh.milne1988@gmail.com.test</t>
  </si>
  <si>
    <t>Delivery Address *</t>
  </si>
  <si>
    <t>Status</t>
  </si>
  <si>
    <t>New</t>
  </si>
  <si>
    <t>Status1</t>
  </si>
  <si>
    <t>State</t>
  </si>
  <si>
    <t>Registration State</t>
  </si>
  <si>
    <t>NSW</t>
  </si>
  <si>
    <t>In Progress</t>
  </si>
  <si>
    <t>Auto Lease</t>
  </si>
  <si>
    <t>Updated By1</t>
  </si>
  <si>
    <t>Assigned To1</t>
  </si>
  <si>
    <t>${TC001.Lease End Date}</t>
  </si>
  <si>
    <t>Submitted By</t>
  </si>
  <si>
    <t>Assigned To</t>
  </si>
  <si>
    <t>Unassigned</t>
  </si>
  <si>
    <t>Joshua Milne</t>
  </si>
  <si>
    <t>Updated By</t>
  </si>
  <si>
    <t>${TC001.Claim Type}</t>
  </si>
  <si>
    <t>${TC001.Vehicle name}</t>
  </si>
  <si>
    <t>${TC001.Vehicle number}</t>
  </si>
  <si>
    <t>TC003</t>
  </si>
  <si>
    <t>TC004</t>
  </si>
  <si>
    <t>${TC003.Last Odometer Reading}</t>
  </si>
  <si>
    <t>${TC003.New Odometer}</t>
  </si>
  <si>
    <t>${TC003.Claim Type}</t>
  </si>
  <si>
    <t>${TC003.Reading Date}</t>
  </si>
  <si>
    <t>${TC003.Last Reading Date}</t>
  </si>
  <si>
    <t>${TC003.Reference Number}</t>
  </si>
  <si>
    <t>${TC003.Odometer}</t>
  </si>
  <si>
    <t>${TC003.Fuel Provider}</t>
  </si>
  <si>
    <t>${TC003.Delivery Address}</t>
  </si>
  <si>
    <t>${TC003.Request Submission Date}</t>
  </si>
  <si>
    <t>${TC003.Last Update Date}</t>
  </si>
  <si>
    <t>${TC003.Request Subtype}</t>
  </si>
  <si>
    <t>${TC003.Driver Salutation}</t>
  </si>
  <si>
    <t>Reason for replacement</t>
  </si>
  <si>
    <t xml:space="preserve">Damaged </t>
  </si>
  <si>
    <t>${TC003.Driver First Name}</t>
  </si>
  <si>
    <t>${TC003.Driver Last Name}</t>
  </si>
  <si>
    <t>${TC003.Driver Name}</t>
  </si>
  <si>
    <t>${TC003.Driver Date of Birth}</t>
  </si>
  <si>
    <t>${TC003.Driver Mobile Phone}</t>
  </si>
  <si>
    <t>${TC003.Driver Email}</t>
  </si>
  <si>
    <t>${TC003.Driver Your Residential Address}</t>
  </si>
  <si>
    <t>${TC003.Driver Employer Name}</t>
  </si>
  <si>
    <t>${TC003.Vehicle}</t>
  </si>
  <si>
    <t>${TC003.Vehicle number}</t>
  </si>
  <si>
    <t>${TC003.Vehicle name}</t>
  </si>
  <si>
    <t>${TC003.Lease End Date}</t>
  </si>
  <si>
    <t>Replacement</t>
  </si>
  <si>
    <t>Fuel Card Number</t>
  </si>
  <si>
    <t>REQ-867</t>
  </si>
  <si>
    <t>6002300065394875</t>
  </si>
  <si>
    <t>26 May 2026 09:25 PM</t>
  </si>
  <si>
    <t>-</t>
  </si>
  <si>
    <t>05 Jun 1995</t>
  </si>
  <si>
    <t>REQ-941</t>
  </si>
  <si>
    <t>02 Jun 2026 05:27 PM</t>
  </si>
  <si>
    <t>End Of Lease Date</t>
  </si>
  <si>
    <t>30 Aug 2029</t>
  </si>
  <si>
    <t>${TC001.End Of Lease Date}</t>
  </si>
  <si>
    <t>${TC003.End Of Lease Date}</t>
  </si>
  <si>
    <t>${TC005.End Of Lease Date}</t>
  </si>
  <si>
    <t>${TC007.End Of Lease Date}</t>
  </si>
  <si>
    <t>REQ-963</t>
  </si>
  <si>
    <t>02 Jun 2026 08:58 PM</t>
  </si>
  <si>
    <t>REQ-965</t>
  </si>
  <si>
    <t>02 Jun 2026 09:57 PM</t>
  </si>
  <si>
    <t>FTV21M</t>
  </si>
  <si>
    <t>MAZDA CX-5</t>
  </si>
  <si>
    <t>Toshihiko</t>
  </si>
  <si>
    <t>Inafune</t>
  </si>
  <si>
    <t>inafune@jfcaust.com.au.test</t>
  </si>
  <si>
    <t>JFC Australia Co Pty Ltd</t>
  </si>
  <si>
    <t>REQ-966</t>
  </si>
  <si>
    <t>6002300080431546</t>
  </si>
  <si>
    <t>02 Jun 2026 10:05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</si>
</sst>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dd\/mm\/yyyy"/>
  </numFmts>
  <fonts count="7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sz val="9"/>
      <color rgb="FF221A15"/>
      <name val="Courier New"/>
      <family val="3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abSelected="1" topLeftCell="Z1" workbookViewId="0">
      <selection activeCell="AQ3" sqref="AQ3"/>
    </sheetView>
  </sheetViews>
  <sheetFormatPr defaultColWidth="8.875" defaultRowHeight="13.5" x14ac:dyDescent="0.15"/>
  <cols>
    <col min="41" max="41" bestFit="true" customWidth="true" width="10.875"/>
  </cols>
  <sheetData>
    <row r="1" spans="1:54" s="1" customFormat="1" ht="8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33</v>
      </c>
      <c r="X1" s="6" t="s">
        <v>35</v>
      </c>
      <c r="Y1" s="6" t="s">
        <v>36</v>
      </c>
      <c r="Z1" s="6" t="s">
        <v>37</v>
      </c>
      <c r="AA1" s="6" t="s">
        <v>38</v>
      </c>
      <c r="AB1" s="6" t="s">
        <v>39</v>
      </c>
      <c r="AC1" s="6" t="s">
        <v>40</v>
      </c>
      <c r="AD1" s="6" t="s">
        <v>41</v>
      </c>
      <c r="AE1" s="6" t="s">
        <v>42</v>
      </c>
      <c r="AF1" s="6" t="s">
        <v>43</v>
      </c>
      <c r="AG1" s="6" t="s">
        <v>44</v>
      </c>
      <c r="AH1" s="6" t="s">
        <v>45</v>
      </c>
      <c r="AI1" s="6" t="s">
        <v>46</v>
      </c>
      <c r="AJ1" s="11" t="s">
        <v>47</v>
      </c>
      <c r="AK1" s="6" t="s">
        <v>48</v>
      </c>
      <c r="AL1" s="6" t="s">
        <v>49</v>
      </c>
      <c r="AM1" s="6" t="s">
        <v>50</v>
      </c>
      <c r="AN1" s="6" t="s">
        <v>51</v>
      </c>
      <c r="AO1" s="11" t="s">
        <v>135</v>
      </c>
      <c r="AP1" s="6" t="s">
        <v>33</v>
      </c>
      <c r="AQ1" s="6" t="s">
        <v>35</v>
      </c>
      <c r="AR1" s="6" t="s">
        <v>78</v>
      </c>
      <c r="AS1" s="6" t="s">
        <v>80</v>
      </c>
      <c r="AT1" s="6" t="s">
        <v>81</v>
      </c>
      <c r="AU1" s="6" t="s">
        <v>82</v>
      </c>
      <c r="AV1" s="6" t="s">
        <v>86</v>
      </c>
      <c r="AW1" s="6" t="s">
        <v>90</v>
      </c>
      <c r="AX1" s="6" t="s">
        <v>87</v>
      </c>
      <c r="AY1" s="6" t="s">
        <v>89</v>
      </c>
      <c r="AZ1" s="9" t="s">
        <v>93</v>
      </c>
      <c r="BA1" s="1" t="s">
        <v>112</v>
      </c>
      <c r="BB1" s="1" t="s">
        <v>127</v>
      </c>
    </row>
    <row r="2" spans="1:54" s="2" customFormat="1" ht="67.5" x14ac:dyDescent="0.2">
      <c r="A2" s="3" t="s">
        <v>22</v>
      </c>
      <c r="B2" s="3" t="s">
        <v>52</v>
      </c>
      <c r="C2" s="3"/>
      <c r="D2" s="4" t="n">
        <f>C2+1</f>
        <v>1.0</v>
      </c>
      <c r="E2" s="4" t="n">
        <f>D2</f>
        <v>1.0</v>
      </c>
      <c r="F2" s="3" t="s">
        <v>53</v>
      </c>
      <c r="G2" s="3"/>
      <c r="H2" s="3"/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3"/>
      <c r="S2" s="3"/>
      <c r="T2" s="3"/>
      <c r="U2" s="3" t="s">
        <v>143</v>
      </c>
      <c r="V2" s="5" t="str">
        <f>TEXT(E2,"#,##0")&amp;" km"</f>
        <v>1 km</v>
      </c>
      <c r="W2" s="5" t="s">
        <v>32</v>
      </c>
      <c r="X2" s="5" t="s">
        <v>77</v>
      </c>
      <c r="Y2" s="5" t="s">
        <v>144</v>
      </c>
      <c r="Z2" s="5" t="s">
        <v>144</v>
      </c>
      <c r="AA2" s="5" t="s">
        <v>53</v>
      </c>
      <c r="AB2" s="5" t="s">
        <v>31</v>
      </c>
      <c r="AC2" s="5" t="s">
        <v>73</v>
      </c>
      <c r="AD2" s="5" t="s">
        <v>74</v>
      </c>
      <c r="AE2" s="5" t="str">
        <f>_xlfn.CONCAT(AC2," ",AD2)</f>
        <v>Joshua Milne</v>
      </c>
      <c r="AF2" s="5" t="s">
        <v>132</v>
      </c>
      <c r="AG2" s="5" t="s">
        <v>75</v>
      </c>
      <c r="AH2" s="5" t="s">
        <v>76</v>
      </c>
      <c r="AI2" s="5" t="s">
        <v>54</v>
      </c>
      <c r="AJ2" s="8" t="s">
        <v>131</v>
      </c>
      <c r="AK2" s="5" t="str">
        <f>AM2&amp;" - "&amp;AL2</f>
        <v>FORD RANGER - EXB72A</v>
      </c>
      <c r="AL2" s="5" t="s">
        <v>70</v>
      </c>
      <c r="AM2" s="8" t="s">
        <v>71</v>
      </c>
      <c r="AN2" s="7" t="s">
        <v>72</v>
      </c>
      <c r="AO2" s="3" t="s">
        <v>136</v>
      </c>
      <c r="AP2" s="5" t="s">
        <v>32</v>
      </c>
      <c r="AQ2" s="5" t="s">
        <v>34</v>
      </c>
      <c r="AR2" s="5" t="s">
        <v>79</v>
      </c>
      <c r="AS2" s="5" t="s">
        <v>84</v>
      </c>
      <c r="AT2" s="5" t="s">
        <v>83</v>
      </c>
      <c r="AU2" s="5" t="s">
        <v>83</v>
      </c>
      <c r="AV2" s="5" t="s">
        <v>85</v>
      </c>
      <c r="AW2" s="5" t="s">
        <v>91</v>
      </c>
      <c r="AX2" s="5" t="s">
        <v>85</v>
      </c>
      <c r="AY2" s="5" t="s">
        <v>92</v>
      </c>
      <c r="AZ2" s="5" t="s">
        <v>92</v>
      </c>
      <c r="BA2" s="10"/>
    </row>
    <row r="3" spans="1:54" s="2" customFormat="1" ht="81" x14ac:dyDescent="0.2">
      <c r="A3" s="3" t="s">
        <v>24</v>
      </c>
      <c r="B3" s="3" t="s">
        <v>52</v>
      </c>
      <c r="C3" s="3" t="s">
        <v>25</v>
      </c>
      <c r="D3" s="3"/>
      <c r="E3" s="3" t="s">
        <v>26</v>
      </c>
      <c r="F3" s="3" t="s">
        <v>94</v>
      </c>
      <c r="G3" s="3"/>
      <c r="H3" s="3"/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59</v>
      </c>
      <c r="AB3" s="3" t="s">
        <v>60</v>
      </c>
      <c r="AC3" s="3" t="s">
        <v>61</v>
      </c>
      <c r="AD3" s="3" t="s">
        <v>62</v>
      </c>
      <c r="AE3" s="3" t="s">
        <v>63</v>
      </c>
      <c r="AF3" s="3" t="s">
        <v>64</v>
      </c>
      <c r="AG3" s="3" t="s">
        <v>65</v>
      </c>
      <c r="AH3" s="3" t="s">
        <v>66</v>
      </c>
      <c r="AI3" s="3" t="s">
        <v>67</v>
      </c>
      <c r="AJ3" s="3" t="s">
        <v>68</v>
      </c>
      <c r="AK3" s="3" t="s">
        <v>69</v>
      </c>
      <c r="AL3" s="3" t="s">
        <v>96</v>
      </c>
      <c r="AM3" s="3" t="s">
        <v>95</v>
      </c>
      <c r="AN3" s="3" t="s">
        <v>88</v>
      </c>
      <c r="AO3" s="3" t="s">
        <v>137</v>
      </c>
      <c r="AP3" s="3" t="s">
        <v>55</v>
      </c>
      <c r="AQ3" s="5" t="s">
        <v>34</v>
      </c>
      <c r="AR3" s="3" t="s">
        <v>79</v>
      </c>
      <c r="AS3" s="3" t="s">
        <v>84</v>
      </c>
      <c r="AT3" s="3" t="s">
        <v>83</v>
      </c>
      <c r="AU3" s="3" t="s">
        <v>83</v>
      </c>
      <c r="AV3" s="3" t="s">
        <v>85</v>
      </c>
      <c r="AW3" s="3" t="s">
        <v>91</v>
      </c>
      <c r="AX3" s="3" t="s">
        <v>85</v>
      </c>
      <c r="AY3" s="3" t="s">
        <v>92</v>
      </c>
      <c r="AZ3" s="3" t="s">
        <v>92</v>
      </c>
      <c r="BA3" s="10"/>
    </row>
    <row r="4" spans="1:54" ht="67.5" x14ac:dyDescent="0.2">
      <c r="A4" s="3" t="s">
        <v>97</v>
      </c>
      <c r="B4" s="3" t="s">
        <v>52</v>
      </c>
      <c r="C4" s="3"/>
      <c r="D4" s="4" t="n">
        <f>C4+1</f>
        <v>1.0</v>
      </c>
      <c r="E4" s="4" t="n">
        <f>D4</f>
        <v>1.0</v>
      </c>
      <c r="F4" s="3" t="s">
        <v>53</v>
      </c>
      <c r="G4" s="3"/>
      <c r="H4" s="3"/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10" t="s">
        <v>113</v>
      </c>
      <c r="S4" s="3"/>
      <c r="T4" s="3"/>
      <c r="U4" s="3" t="s">
        <v>151</v>
      </c>
      <c r="V4" s="5" t="str">
        <f>TEXT(E4,"#,##0")&amp;" km"</f>
        <v>1 km</v>
      </c>
      <c r="W4" s="5" t="s">
        <v>32</v>
      </c>
      <c r="X4" s="5" t="s">
        <v>77</v>
      </c>
      <c r="Y4" s="5" t="s">
        <v>153</v>
      </c>
      <c r="Z4" s="5" t="s">
        <v>153</v>
      </c>
      <c r="AA4" s="5" t="s">
        <v>126</v>
      </c>
      <c r="AB4" s="5" t="s">
        <v>31</v>
      </c>
      <c r="AC4" s="5" t="s">
        <v>147</v>
      </c>
      <c r="AD4" s="5" t="s">
        <v>148</v>
      </c>
      <c r="AE4" s="5" t="str">
        <f>_xlfn.CONCAT(AC4," ",AD4)</f>
        <v>Toshihiko Inafune</v>
      </c>
      <c r="AF4" s="5" t="s">
        <v>132</v>
      </c>
      <c r="AG4" s="5" t="s">
        <v>75</v>
      </c>
      <c r="AH4" s="5" t="s">
        <v>149</v>
      </c>
      <c r="AI4" s="5" t="s">
        <v>54</v>
      </c>
      <c r="AJ4" s="8" t="s">
        <v>150</v>
      </c>
      <c r="AK4" s="5" t="str">
        <f>AM4&amp;" - "&amp;AL4</f>
        <v>MAZDA CX-5 - FTV21M</v>
      </c>
      <c r="AL4" s="5" t="s">
        <v>145</v>
      </c>
      <c r="AM4" s="8" t="s">
        <v>146</v>
      </c>
      <c r="AN4" s="7" t="s">
        <v>72</v>
      </c>
      <c r="AO4" s="3" t="s">
        <v>136</v>
      </c>
      <c r="AP4" s="5" t="s">
        <v>32</v>
      </c>
      <c r="AQ4" s="5" t="s">
        <v>34</v>
      </c>
      <c r="AR4" s="5" t="s">
        <v>79</v>
      </c>
      <c r="AS4" s="5" t="s">
        <v>84</v>
      </c>
      <c r="AT4" s="5" t="s">
        <v>83</v>
      </c>
      <c r="AU4" s="5" t="s">
        <v>83</v>
      </c>
      <c r="AV4" s="5" t="s">
        <v>85</v>
      </c>
      <c r="AW4" s="5" t="s">
        <v>91</v>
      </c>
      <c r="AX4" s="5" t="s">
        <v>85</v>
      </c>
      <c r="AY4" s="5" t="s">
        <v>92</v>
      </c>
      <c r="AZ4" s="5" t="s">
        <v>92</v>
      </c>
      <c r="BA4" s="10" t="s">
        <v>113</v>
      </c>
      <c r="BB4" t="s" s="0">
        <v>152</v>
      </c>
    </row>
    <row r="5" spans="1:54" ht="81" x14ac:dyDescent="0.2">
      <c r="A5" s="3" t="s">
        <v>98</v>
      </c>
      <c r="B5" s="3" t="s">
        <v>52</v>
      </c>
      <c r="C5" s="3" t="s">
        <v>99</v>
      </c>
      <c r="D5" s="3"/>
      <c r="E5" s="3" t="s">
        <v>100</v>
      </c>
      <c r="F5" s="3" t="s">
        <v>101</v>
      </c>
      <c r="G5" s="3"/>
      <c r="H5" s="3"/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10" t="s">
        <v>113</v>
      </c>
      <c r="S5" s="3" t="s">
        <v>102</v>
      </c>
      <c r="T5" s="3" t="s">
        <v>103</v>
      </c>
      <c r="U5" s="3" t="s">
        <v>104</v>
      </c>
      <c r="V5" s="3" t="s">
        <v>105</v>
      </c>
      <c r="W5" s="3" t="s">
        <v>106</v>
      </c>
      <c r="X5" s="3" t="s">
        <v>107</v>
      </c>
      <c r="Y5" s="3" t="s">
        <v>108</v>
      </c>
      <c r="Z5" s="3" t="s">
        <v>109</v>
      </c>
      <c r="AA5" s="3" t="s">
        <v>110</v>
      </c>
      <c r="AB5" s="3" t="s">
        <v>111</v>
      </c>
      <c r="AC5" s="3" t="s">
        <v>114</v>
      </c>
      <c r="AD5" s="3" t="s">
        <v>115</v>
      </c>
      <c r="AE5" s="3" t="s">
        <v>116</v>
      </c>
      <c r="AF5" s="3" t="s">
        <v>117</v>
      </c>
      <c r="AG5" s="3" t="s">
        <v>118</v>
      </c>
      <c r="AH5" s="3" t="s">
        <v>119</v>
      </c>
      <c r="AI5" s="3" t="s">
        <v>120</v>
      </c>
      <c r="AJ5" s="3" t="s">
        <v>121</v>
      </c>
      <c r="AK5" s="3" t="s">
        <v>122</v>
      </c>
      <c r="AL5" s="3" t="s">
        <v>123</v>
      </c>
      <c r="AM5" s="3" t="s">
        <v>124</v>
      </c>
      <c r="AN5" s="3" t="s">
        <v>125</v>
      </c>
      <c r="AO5" s="3" t="s">
        <v>138</v>
      </c>
      <c r="AP5" s="3" t="s">
        <v>106</v>
      </c>
      <c r="AQ5" s="5" t="s">
        <v>34</v>
      </c>
      <c r="AR5" s="3" t="s">
        <v>79</v>
      </c>
      <c r="AS5" s="3" t="s">
        <v>84</v>
      </c>
      <c r="AT5" s="3" t="s">
        <v>83</v>
      </c>
      <c r="AU5" s="3" t="s">
        <v>83</v>
      </c>
      <c r="AV5" s="3" t="s">
        <v>85</v>
      </c>
      <c r="AW5" s="3" t="s">
        <v>91</v>
      </c>
      <c r="AX5" s="3" t="s">
        <v>85</v>
      </c>
      <c r="AY5" s="3" t="s">
        <v>92</v>
      </c>
      <c r="AZ5" s="3" t="s">
        <v>92</v>
      </c>
      <c r="BA5" s="10" t="s">
        <v>113</v>
      </c>
      <c r="BB5" t="s" s="0">
        <v>152</v>
      </c>
    </row>
    <row r="6" spans="1:54" ht="27" x14ac:dyDescent="0.15">
      <c r="AO6" s="3" t="s">
        <v>136</v>
      </c>
    </row>
    <row r="7" spans="1:54" ht="40.5" x14ac:dyDescent="0.15">
      <c r="AO7" s="3" t="s">
        <v>139</v>
      </c>
    </row>
    <row r="8" spans="1:54" ht="27" x14ac:dyDescent="0.15">
      <c r="AO8" s="3" t="s">
        <v>136</v>
      </c>
    </row>
    <row r="9" spans="1:54" ht="40.5" x14ac:dyDescent="0.15">
      <c r="AO9" s="3" t="s">
        <v>140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Dhanalakshmi Jayaraman</cp:lastModifiedBy>
  <dcterms:modified xsi:type="dcterms:W3CDTF">2026-06-02T08:53:04Z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1033-12.2.0.23196</vt:lpwstr>
  </property>
</Properties>
</file>