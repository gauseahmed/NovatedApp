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873"/>
  </bookViews>
  <sheets>
    <sheet name="TestData" sheetId="14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<sst xmlns="http://schemas.openxmlformats.org/spreadsheetml/2006/main" count="181" uniqueCount="138">
  <si>
    <t>TC ID</t>
  </si>
  <si>
    <t>Request Type</t>
  </si>
  <si>
    <t>Last Odometer Reading</t>
  </si>
  <si>
    <t>Updated Odometer Reading</t>
  </si>
  <si>
    <t>New Odometer</t>
  </si>
  <si>
    <t>Claim Type</t>
  </si>
  <si>
    <t>Amount ($)</t>
  </si>
  <si>
    <t>Proof of Payment</t>
  </si>
  <si>
    <t>Scheduled Service</t>
  </si>
  <si>
    <t>Maintenance Activity Completed</t>
  </si>
  <si>
    <t>Tyre Quantity</t>
  </si>
  <si>
    <t>Policy Start Date</t>
  </si>
  <si>
    <t>New Registration Expiry Date</t>
  </si>
  <si>
    <t>Insurance Company</t>
  </si>
  <si>
    <t>Insurance Expiry Date</t>
  </si>
  <si>
    <t>Insurance Company Name</t>
  </si>
  <si>
    <t>Claim Description</t>
  </si>
  <si>
    <t>Replace Fuel Card</t>
  </si>
  <si>
    <t>Reading Date</t>
  </si>
  <si>
    <t>Last Reading Date</t>
  </si>
  <si>
    <t>Reference Number</t>
  </si>
  <si>
    <t>Odometer</t>
  </si>
  <si>
    <t>Payout Odometer</t>
  </si>
  <si>
    <t>Fuel Provider</t>
  </si>
  <si>
    <t>Delivery Address</t>
  </si>
  <si>
    <t>Request Submission Date</t>
  </si>
  <si>
    <t>Last Update Date</t>
  </si>
  <si>
    <t>Request Subtype</t>
  </si>
  <si>
    <t>Driver Salutation</t>
  </si>
  <si>
    <t>Driver First Name</t>
  </si>
  <si>
    <t>Driver Last Name</t>
  </si>
  <si>
    <t>Driver Name</t>
  </si>
  <si>
    <t>Driver Date of Birth</t>
  </si>
  <si>
    <t>Driver Mobile Phone</t>
  </si>
  <si>
    <t>Driver Email</t>
  </si>
  <si>
    <t>Driver Your Residential Address</t>
  </si>
  <si>
    <t>Driver Employer Name</t>
  </si>
  <si>
    <t>Vehicle</t>
  </si>
  <si>
    <t>Vehicle number</t>
  </si>
  <si>
    <t>Vehicle name</t>
  </si>
  <si>
    <t>Lease End Date</t>
  </si>
  <si>
    <t>Fuel Card Number</t>
  </si>
  <si>
    <t>Remittance Advice</t>
  </si>
  <si>
    <t>EOL Date</t>
  </si>
  <si>
    <t>Payout Amount</t>
  </si>
  <si>
    <t>Payout Valid-to Date</t>
  </si>
  <si>
    <t>Lease Type</t>
  </si>
  <si>
    <t>TC001</t>
  </si>
  <si>
    <t>Early Termination</t>
  </si>
  <si>
    <t>56151</t>
  </si>
  <si>
    <t>N/A</t>
  </si>
  <si>
    <t>Lost</t>
  </si>
  <si>
    <t>25 May 2026</t>
  </si>
  <si>
    <t>3 May 2026</t>
  </si>
  <si>
    <t>REQ-848</t>
  </si>
  <si>
    <t>ORIX Motorpass</t>
  </si>
  <si>
    <t>13 May 2026 02:11 PM</t>
  </si>
  <si>
    <t>Replacement</t>
  </si>
  <si>
    <t>Mr</t>
  </si>
  <si>
    <t>Taj</t>
  </si>
  <si>
    <t>Farmer</t>
  </si>
  <si>
    <t>11/05/1991</t>
  </si>
  <si>
    <t>398989111</t>
  </si>
  <si>
    <t>tajwfarmer@gmail.com.test</t>
  </si>
  <si>
    <t>Your Residential Address *</t>
  </si>
  <si>
    <t>ESSO Australia Pty Ltd</t>
  </si>
  <si>
    <t>FHJ45P</t>
  </si>
  <si>
    <t>TOYOTA LANDCRUISER PRADO</t>
  </si>
  <si>
    <t>30 Aug 2029</t>
  </si>
  <si>
    <t>C:\Automation\Test cases Novated App\Filestoupload\RemittanceAdvice.pdf</t>
  </si>
  <si>
    <t>12 Aug 2026</t>
  </si>
  <si>
    <t>TC002</t>
  </si>
  <si>
    <t>${TC001.Last Odometer Reading}</t>
  </si>
  <si>
    <t>${TC001.New Odometer}</t>
  </si>
  <si>
    <t>${TC001.Reading Date}</t>
  </si>
  <si>
    <t>${TC001.Last Reading Date}</t>
  </si>
  <si>
    <t>${TC001.Reference Number}</t>
  </si>
  <si>
    <t>${TC001.Odometer}</t>
  </si>
  <si>
    <t>${TC001.Fuel Provider}</t>
  </si>
  <si>
    <t>${TC001.Delivery Address}</t>
  </si>
  <si>
    <t>${TC001.Request Submission Date}</t>
  </si>
  <si>
    <t>${TC001.Last Update Date}</t>
  </si>
  <si>
    <t>${TC001.Request Subtype}</t>
  </si>
  <si>
    <t>${TC001.Driver Salutation}</t>
  </si>
  <si>
    <t>${TC001.Driver First Name}</t>
  </si>
  <si>
    <t>${TC001.Driver Last Name}</t>
  </si>
  <si>
    <t>${TC001.Driver Name}</t>
  </si>
  <si>
    <t>${TC001.Driver Date of Birth}</t>
  </si>
  <si>
    <t>${TC001.Driver Mobile Phone}</t>
  </si>
  <si>
    <t>${TC001.Driver Email}</t>
  </si>
  <si>
    <t>${TC001.Driver Your Residential Address}</t>
  </si>
  <si>
    <t>${TC001.Driver Employer Name}</t>
  </si>
  <si>
    <t>${TC001.Vehicle}</t>
  </si>
  <si>
    <t>${TC001.Vehicle number}</t>
  </si>
  <si>
    <t>${TC001.Vehicle name}</t>
  </si>
  <si>
    <t>${TC001.Lease End Date}</t>
  </si>
  <si>
    <t>No Number Info</t>
  </si>
  <si>
    <t>${TC001.EOL Date}</t>
  </si>
  <si>
    <t>${TC001.Payout Amount}</t>
  </si>
  <si>
    <t>${TC001.Payout Valid-to Date}</t>
  </si>
  <si>
    <t>Novated Finance</t>
  </si>
  <si>
    <t>SEM523</t>
  </si>
  <si>
    <t>TESLA MODEL 3</t>
  </si>
  <si>
    <t>19 Jul 2026</t>
  </si>
  <si>
    <t>15791</t>
  </si>
  <si>
    <t>Dubravko</t>
  </si>
  <si>
    <t>Jandric</t>
  </si>
  <si>
    <t>02/05/1987</t>
  </si>
  <si>
    <t>358965142</t>
  </si>
  <si>
    <t>jandric08@gmail.com.test</t>
  </si>
  <si>
    <t>Mt Arthur Coal Pty Ltd</t>
  </si>
  <si>
    <t>20 Mar 2026</t>
  </si>
  <si>
    <t>REQ-850</t>
  </si>
  <si>
    <t>653CE9</t>
  </si>
  <si>
    <t>FORD RANGER</t>
  </si>
  <si>
    <t>16 Jun 2026</t>
  </si>
  <si>
    <t>82398</t>
  </si>
  <si>
    <t>Mervyn</t>
  </si>
  <si>
    <t>Pillay</t>
  </si>
  <si>
    <t>06/05/1977</t>
  </si>
  <si>
    <t>358915547</t>
  </si>
  <si>
    <t>mervynp@youi.com.test</t>
  </si>
  <si>
    <t>Youi Pty Ltd</t>
  </si>
  <si>
    <t>21 Jul 2025</t>
  </si>
  <si>
    <t>26 May 2026</t>
  </si>
  <si>
    <t>REQ-852</t>
  </si>
  <si>
    <t>S992CYU</t>
  </si>
  <si>
    <t>VOLVO EX30</t>
  </si>
  <si>
    <t>18 Jun 2026</t>
  </si>
  <si>
    <t>13011</t>
  </si>
  <si>
    <t>Andrew</t>
  </si>
  <si>
    <t>McInnes</t>
  </si>
  <si>
    <t>01/05/1987</t>
  </si>
  <si>
    <t>369875622</t>
  </si>
  <si>
    <t>andrew.mcinnes@raytheon.com.au.test</t>
  </si>
  <si>
    <t>Raytheon Australia Pty Ltd</t>
  </si>
  <si>
    <t>4 Feb 2026</t>
  </si>
  <si>
    <t>REQ-854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</si>
</sst>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9"/>
      <color rgb="FF1F1F1F"/>
      <name val="Courier Ne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vertical="center" wrapText="1"/>
    </xf>
    <xf numFmtId="180" fontId="0" fillId="0" borderId="1" xfId="0" applyNumberFormat="1" applyFont="1" applyFill="1" applyBorder="1" applyAlignment="1">
      <alignment vertical="center" wrapText="1"/>
    </xf>
    <xf numFmtId="3" fontId="0" fillId="0" borderId="0" xfId="0" applyNumberForma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0"/>
  <sheetViews>
    <sheetView tabSelected="1" topLeftCell="P1" workbookViewId="0">
      <selection activeCell="V1" sqref="V1"/>
    </sheetView>
  </sheetViews>
  <sheetFormatPr defaultColWidth="8.89166666666667" defaultRowHeight="13.8"/>
  <cols>
    <col min="1" max="1" customWidth="true" width="8.55833333333333"/>
    <col min="2" max="2" customWidth="true" width="20.7"/>
    <col min="3" max="4" customWidth="true" width="24.3333333333333"/>
    <col min="5" max="5" customWidth="true" width="27.3333333333333"/>
    <col min="6" max="6" customWidth="true" width="16.775"/>
    <col min="7" max="7" customWidth="true" width="15.3333333333333"/>
    <col min="8" max="8" customWidth="true" width="21.775"/>
    <col min="9" max="9" customWidth="true" width="18.6666666666667"/>
    <col min="10" max="10" customWidth="true" width="23.775"/>
    <col min="11" max="11" customWidth="true" width="17.225"/>
    <col min="12" max="12" customWidth="true" width="19.8916666666667"/>
    <col min="13" max="13" customWidth="true" width="20.6666666666667"/>
    <col min="14" max="14" customWidth="true" width="17.5583333333333"/>
    <col min="15" max="15" customWidth="true" width="14.6666666666667"/>
    <col min="16" max="16" customWidth="true" width="19.3333333333333"/>
    <col min="17" max="17" customWidth="true" width="18.4416666666667"/>
    <col min="18" max="23" customWidth="true" width="19.1083333333333"/>
    <col min="24" max="24" customWidth="true" width="20.7"/>
    <col min="25" max="25" customWidth="true" width="24.6"/>
    <col min="26" max="26" customWidth="true" width="29.8"/>
    <col min="27" max="28" customWidth="true" width="24.5"/>
    <col min="36" max="36" customWidth="true" width="26.6"/>
    <col min="43" max="44" customWidth="true" width="12.4"/>
    <col min="45" max="45" customWidth="true" width="14.6"/>
    <col min="46" max="46" customWidth="true" width="16.7"/>
  </cols>
  <sheetData>
    <row r="1" s="1" customFormat="1" ht="41.4" spans="1:4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</row>
    <row r="2" s="2" customFormat="1" ht="82.8" spans="1:47">
      <c r="A2" s="4" t="s">
        <v>47</v>
      </c>
      <c r="B2" s="4" t="s">
        <v>48</v>
      </c>
      <c r="C2" s="5" t="s">
        <v>129</v>
      </c>
      <c r="D2" s="6" t="n">
        <f>C2+1</f>
        <v>13012.0</v>
      </c>
      <c r="E2" s="6" t="n">
        <f>D2</f>
        <v>13012.0</v>
      </c>
      <c r="F2" s="4"/>
      <c r="G2" s="4"/>
      <c r="H2" s="4"/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51</v>
      </c>
      <c r="S2" s="4" t="s">
        <v>124</v>
      </c>
      <c r="T2" s="4" t="s">
        <v>136</v>
      </c>
      <c r="U2" s="4" t="s">
        <v>137</v>
      </c>
      <c r="V2" s="7" t="str">
        <f>TEXT(E2,"#,##0")&amp;" km"</f>
        <v>13,012 km</v>
      </c>
      <c r="W2" s="7" t="str">
        <f>TEXT(C2,"#,##0")&amp;" km"</f>
        <v>13,011 km</v>
      </c>
      <c r="X2" s="7" t="s">
        <v>55</v>
      </c>
      <c r="Y2" s="7"/>
      <c r="Z2" s="7" t="s">
        <v>56</v>
      </c>
      <c r="AA2" s="7" t="s">
        <v>56</v>
      </c>
      <c r="AB2" s="7" t="s">
        <v>57</v>
      </c>
      <c r="AC2" s="7" t="s">
        <v>58</v>
      </c>
      <c r="AD2" s="7" t="s">
        <v>130</v>
      </c>
      <c r="AE2" s="7" t="s">
        <v>131</v>
      </c>
      <c r="AF2" s="7" t="str">
        <f>_xlfn.CONCAT(AD2," ",AE2)</f>
        <v>Andrew McInnes</v>
      </c>
      <c r="AG2" s="7" t="s">
        <v>132</v>
      </c>
      <c r="AH2" s="7" t="s">
        <v>133</v>
      </c>
      <c r="AI2" s="7" t="s">
        <v>134</v>
      </c>
      <c r="AJ2" s="7" t="s">
        <v>64</v>
      </c>
      <c r="AK2" s="7" t="s">
        <v>135</v>
      </c>
      <c r="AL2" s="7" t="str">
        <f>AN2&amp;" - "&amp;AM2</f>
        <v>VOLVO EX30 - S992CYU</v>
      </c>
      <c r="AM2" s="7" t="s">
        <v>126</v>
      </c>
      <c r="AN2" s="7" t="s">
        <v>127</v>
      </c>
      <c r="AO2" s="7" t="s">
        <v>68</v>
      </c>
      <c r="AP2" s="7"/>
      <c r="AQ2" s="7" t="s">
        <v>69</v>
      </c>
      <c r="AR2" s="7" t="s">
        <v>128</v>
      </c>
      <c r="AS2" s="7"/>
      <c r="AT2" s="7"/>
      <c r="AU2" s="7"/>
    </row>
    <row r="3" s="2" customFormat="1" ht="55.2" spans="1:47">
      <c r="A3" s="4" t="s">
        <v>71</v>
      </c>
      <c r="B3" s="4" t="s">
        <v>48</v>
      </c>
      <c r="C3" s="4" t="s">
        <v>72</v>
      </c>
      <c r="D3" s="4"/>
      <c r="E3" s="4" t="s">
        <v>73</v>
      </c>
      <c r="F3" s="4"/>
      <c r="G3" s="4"/>
      <c r="H3" s="4"/>
      <c r="I3" s="4" t="s">
        <v>50</v>
      </c>
      <c r="J3" s="4" t="s">
        <v>50</v>
      </c>
      <c r="K3" s="4" t="s">
        <v>50</v>
      </c>
      <c r="L3" s="4" t="s">
        <v>50</v>
      </c>
      <c r="M3" s="4" t="s">
        <v>50</v>
      </c>
      <c r="N3" s="4" t="s">
        <v>50</v>
      </c>
      <c r="O3" s="4" t="s">
        <v>50</v>
      </c>
      <c r="P3" s="4" t="s">
        <v>50</v>
      </c>
      <c r="Q3" s="4" t="s">
        <v>50</v>
      </c>
      <c r="R3" s="4" t="s">
        <v>50</v>
      </c>
      <c r="S3" s="4" t="s">
        <v>74</v>
      </c>
      <c r="T3" s="4" t="s">
        <v>75</v>
      </c>
      <c r="U3" s="4" t="s">
        <v>76</v>
      </c>
      <c r="V3" s="4" t="s">
        <v>77</v>
      </c>
      <c r="W3" s="4"/>
      <c r="X3" s="4" t="s">
        <v>78</v>
      </c>
      <c r="Y3" s="4" t="s">
        <v>79</v>
      </c>
      <c r="Z3" s="4" t="s">
        <v>80</v>
      </c>
      <c r="AA3" s="4" t="s">
        <v>81</v>
      </c>
      <c r="AB3" s="4" t="s">
        <v>82</v>
      </c>
      <c r="AC3" s="4" t="s">
        <v>83</v>
      </c>
      <c r="AD3" s="4" t="s">
        <v>84</v>
      </c>
      <c r="AE3" s="4" t="s">
        <v>85</v>
      </c>
      <c r="AF3" s="4" t="s">
        <v>86</v>
      </c>
      <c r="AG3" s="4" t="s">
        <v>87</v>
      </c>
      <c r="AH3" s="4" t="s">
        <v>88</v>
      </c>
      <c r="AI3" s="4" t="s">
        <v>89</v>
      </c>
      <c r="AJ3" s="4" t="s">
        <v>90</v>
      </c>
      <c r="AK3" s="4" t="s">
        <v>91</v>
      </c>
      <c r="AL3" s="4" t="s">
        <v>92</v>
      </c>
      <c r="AM3" s="4" t="s">
        <v>93</v>
      </c>
      <c r="AN3" s="4" t="s">
        <v>94</v>
      </c>
      <c r="AO3" s="4" t="s">
        <v>95</v>
      </c>
      <c r="AP3" s="4" t="s">
        <v>96</v>
      </c>
      <c r="AQ3" s="4"/>
      <c r="AR3" s="4" t="s">
        <v>97</v>
      </c>
      <c r="AS3" s="4" t="s">
        <v>98</v>
      </c>
      <c r="AT3" s="4" t="s">
        <v>99</v>
      </c>
      <c r="AU3" s="4" t="s">
        <v>100</v>
      </c>
    </row>
    <row r="5" spans="1:47">
      <c r="E5" s="8"/>
    </row>
    <row r="10" spans="1:47">
      <c r="U10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2025-12-01T12:03:00Z</dcterms:created>
  <dc:creator>Sonu Singh</dc:creator>
  <cp:lastModifiedBy>Gause Ahmed Mohamed Ansar</cp:lastModifiedBy>
  <dcterms:modified xsi:type="dcterms:W3CDTF">2026-05-25T10:23:15Z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7DCB9CEED9C140F39456F2E5680BD05D_12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