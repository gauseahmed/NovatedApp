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8ED9BC59-F562-4110-9709-98F2C8EB267B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4" l="1"/>
  <c r="V8" i="14" s="1"/>
  <c r="E6" i="14"/>
  <c r="V6" i="14" s="1"/>
  <c r="E2" i="14"/>
  <c r="V2" i="14" s="1"/>
  <c r="E4" i="14"/>
  <c r="V4" i="14" s="1"/>
  <c r="D8" i="14"/>
  <c r="D6" i="14"/>
  <c r="D4" i="14"/>
  <c r="D2" i="14"/>
</calcChain>
</file>

<file path=xl/sharedStrings.xml><?xml version="1.0" encoding="utf-8"?>
<sst xmlns="http://schemas.openxmlformats.org/spreadsheetml/2006/main" count="357" uniqueCount="138">
  <si>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</si>
  <si>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</si>
  <si>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</si>
  <si>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</si>
  <si>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</si>
  <si>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</si>
  <si>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</si>
  <si>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</si>
  <si>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</si>
  <si>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</si>
  <si>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</si>
  <si>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</si>
  <si>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</si>
  <si>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</si>
  <si>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</si>
  <si>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</si>
  <si>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</si>
  <si>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</si>
  <si>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</si>
  <si>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</si>
  <si>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</si>
  <si>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</si>
  <si>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</si>
  <si>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</si>
  <si>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</si>
  <si>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</si>
  <si>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</si>
  <si>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</si>
  <si>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</si>
  <si>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</si>
  <si>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</si>
  <si>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</si>
  <si>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Maintenance</t>
  </si>
  <si>
    <t>C:\Users\Public\Documents\Invoice.pdf</t>
  </si>
  <si>
    <t>Tax Invoice</t>
  </si>
  <si>
    <t>End Of Lease Date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</si>
  <si>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</si>
  <si>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</si>
  <si>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</si>
  <si>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</si>
  <si>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</si>
  <si>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</si>
  <si>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</si>
  <si>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</si>
  <si>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</si>
  <si>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</si>
  <si>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</si>
  <si>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</si>
  <si>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</si>
  <si>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</si>
  <si>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</si>
  <si>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Tyres</t>
  </si>
  <si>
    <t>Vehicle General maintenance has been completed</t>
  </si>
  <si>
    <t>22 Apr 2026 04:33 AM</t>
  </si>
  <si>
    <t>Submitted On</t>
  </si>
  <si>
    <t>22 Apr 2026 04:34 AM</t>
  </si>
  <si>
    <t>Updated On</t>
  </si>
  <si>
    <t>Rotate &amp; Balance Wheels</t>
  </si>
  <si>
    <t>Tyre Puncture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</si>
  <si>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</si>
  <si>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</si>
  <si>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</si>
  <si>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</si>
  <si>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</si>
  <si>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</si>
  <si>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</si>
  <si>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</si>
  <si>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</si>
  <si>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</si>
  <si>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</si>
  <si>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</si>
  <si>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Salutation</t>
  </si>
  <si>
    <t>Mr</t>
  </si>
  <si>
    <t>Toshihiko</t>
  </si>
  <si>
    <t>First Name</t>
  </si>
  <si>
    <t>Inafune</t>
  </si>
  <si>
    <t>Last Name</t>
  </si>
  <si>
    <t>inafune@jfcaust.com.au.test</t>
  </si>
  <si>
    <t>Primary Email</t>
  </si>
  <si>
    <t>Mobile</t>
  </si>
  <si>
    <t>Test Employer</t>
  </si>
  <si>
    <t>Employer</t>
  </si>
  <si>
    <t>NSW</t>
  </si>
  <si>
    <t>State</t>
  </si>
  <si>
    <t>Vehicle Description</t>
  </si>
  <si>
    <t>MAZDA CX-5</t>
  </si>
  <si>
    <t>FTV21M</t>
  </si>
  <si>
    <t>Registration Number</t>
  </si>
  <si>
    <t>Registration State</t>
  </si>
  <si>
    <t>In Progress</t>
  </si>
  <si>
    <t>Status</t>
  </si>
  <si>
    <t>Auto Lease</t>
  </si>
  <si>
    <t>New</t>
  </si>
  <si>
    <t>Status1</t>
  </si>
  <si>
    <t>Updated By1</t>
  </si>
  <si>
    <t>Assigned To1</t>
  </si>
  <si>
    <t>${TC003.Reference Number}</t>
  </si>
  <si>
    <t>${TC003.Odometer}</t>
  </si>
  <si>
    <t>Cancelled</t>
  </si>
  <si>
    <t>$600.00</t>
  </si>
  <si>
    <t>$500.00</t>
  </si>
  <si>
    <t>$1,000.00</t>
  </si>
  <si>
    <t>$200.00</t>
  </si>
  <si>
    <t>1 Jun 2026</t>
  </si>
  <si>
    <t>5539</t>
  </si>
  <si>
    <t>REQ-891</t>
  </si>
  <si>
    <t>5540</t>
  </si>
  <si>
    <t>REQ-892</t>
  </si>
  <si>
    <t>5541</t>
  </si>
  <si>
    <t>REQ-893</t>
  </si>
  <si>
    <t>5555</t>
  </si>
  <si>
    <t>REQ-914</t>
  </si>
  <si>
    <t>${TC001.End Of Lease Date}</t>
  </si>
  <si>
    <t>${TC003.End Of Lease Date}</t>
  </si>
  <si>
    <t>${TC005.End Of Lease Date}</t>
  </si>
  <si>
    <t>${TC007.End Of Lease Date}</t>
  </si>
  <si>
    <t>30 Aug 2029</t>
  </si>
  <si>
    <t>5556</t>
  </si>
  <si>
    <t>2 Jun 2026</t>
  </si>
  <si>
    <t>REQ-920</t>
  </si>
  <si>
    <t>5557</t>
  </si>
  <si>
    <t>REQ-921</t>
  </si>
  <si>
    <t>5558</t>
  </si>
  <si>
    <t>REQ-922</t>
  </si>
  <si>
    <t>5559</t>
  </si>
  <si>
    <t>REQ-923</t>
  </si>
  <si>
    <t>5560</t>
  </si>
  <si>
    <t>REQ-924</t>
  </si>
  <si>
    <t>5561</t>
  </si>
  <si>
    <t>REQ-926</t>
  </si>
  <si>
    <t>5562</t>
  </si>
  <si>
    <t>REQ-927</t>
  </si>
  <si>
    <t>5563</t>
  </si>
  <si>
    <t>REQ-928</t>
  </si>
  <si>
    <t>5564</t>
  </si>
  <si>
    <t>REQ-929</t>
  </si>
  <si>
    <t>5565</t>
  </si>
  <si>
    <t>REQ-930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</si>
</sst>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9"/>
      <color rgb="FF1E1B13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0"/>
  <sheetViews>
    <sheetView tabSelected="1" topLeftCell="S1" workbookViewId="0">
      <selection activeCell="X2" sqref="X2"/>
    </sheetView>
  </sheetViews>
  <sheetFormatPr defaultColWidth="8.875" defaultRowHeight="13.5" x14ac:dyDescent="0.1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9" width="27.125"/>
    <col min="25" max="25" customWidth="true" width="25.375"/>
    <col min="26" max="26" customWidth="true" width="19.5"/>
    <col min="27" max="27" customWidth="true" width="14.5"/>
    <col min="28" max="28" bestFit="true" customWidth="true" style="9" width="17.25"/>
    <col min="29" max="29" customWidth="true" style="9" width="15.125"/>
    <col min="31" max="31" customWidth="true" width="11.125"/>
    <col min="32" max="32" customWidth="true" width="11.875"/>
    <col min="33" max="33" customWidth="true" width="27.875"/>
    <col min="34" max="34" bestFit="true" customWidth="true" style="9" width="9.875"/>
    <col min="37" max="37" bestFit="true" customWidth="true" width="20.125"/>
    <col min="40" max="41" customWidth="true" width="12.875"/>
  </cols>
  <sheetData>
    <row r="1" spans="1:44" s="1" customFormat="1" ht="45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34</v>
      </c>
      <c r="X1" s="3" t="s">
        <v>35</v>
      </c>
      <c r="Y1" s="3" t="s">
        <v>36</v>
      </c>
      <c r="Z1" s="3" t="s">
        <v>38</v>
      </c>
      <c r="AA1" s="3" t="s">
        <v>39</v>
      </c>
      <c r="AB1" s="3" t="s">
        <v>54</v>
      </c>
      <c r="AC1" s="3" t="s">
        <v>56</v>
      </c>
      <c r="AD1" s="3" t="s">
        <v>71</v>
      </c>
      <c r="AE1" s="3" t="s">
        <v>74</v>
      </c>
      <c r="AF1" s="3" t="s">
        <v>76</v>
      </c>
      <c r="AG1" s="3" t="s">
        <v>78</v>
      </c>
      <c r="AH1" s="13" t="s">
        <v>79</v>
      </c>
      <c r="AI1" s="3" t="s">
        <v>81</v>
      </c>
      <c r="AJ1" s="13" t="s">
        <v>83</v>
      </c>
      <c r="AK1" s="3" t="s">
        <v>84</v>
      </c>
      <c r="AL1" s="13" t="s">
        <v>87</v>
      </c>
      <c r="AM1" s="3" t="s">
        <v>88</v>
      </c>
      <c r="AN1" s="13" t="s">
        <v>90</v>
      </c>
      <c r="AO1" s="13" t="s">
        <v>93</v>
      </c>
      <c r="AP1" s="3" t="s">
        <v>94</v>
      </c>
      <c r="AQ1" s="13" t="s">
        <v>39</v>
      </c>
      <c r="AR1" s="13" t="s">
        <v>95</v>
      </c>
    </row>
    <row r="2" spans="1:44" s="2" customFormat="1" ht="40.5" x14ac:dyDescent="0.15">
      <c r="A2" s="4" t="s">
        <v>22</v>
      </c>
      <c r="B2" s="4" t="s">
        <v>23</v>
      </c>
      <c r="C2" s="4" t="s">
        <v>130</v>
      </c>
      <c r="D2" s="5" t="n">
        <f>C2+1</f>
        <v>5563.0</v>
      </c>
      <c r="E2" s="5" t="n">
        <f>C2+1</f>
        <v>5563.0</v>
      </c>
      <c r="F2" s="8" t="s">
        <v>32</v>
      </c>
      <c r="G2" s="11" t="s">
        <v>99</v>
      </c>
      <c r="H2" s="4" t="s">
        <v>33</v>
      </c>
      <c r="I2" s="4" t="s">
        <v>24</v>
      </c>
      <c r="J2" s="11" t="s">
        <v>52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118</v>
      </c>
      <c r="T2" s="4" t="s">
        <v>118</v>
      </c>
      <c r="U2" s="4" t="s">
        <v>131</v>
      </c>
      <c r="V2" s="6" t="str">
        <f>TEXT(E2,"#,##0")&amp;" km"</f>
        <v>5,563 km</v>
      </c>
      <c r="W2" s="4" t="s">
        <v>33</v>
      </c>
      <c r="X2" s="4" t="s">
        <v>116</v>
      </c>
      <c r="Y2" s="4" t="s">
        <v>37</v>
      </c>
      <c r="Z2" s="4" t="s">
        <v>37</v>
      </c>
      <c r="AA2" s="4"/>
      <c r="AB2" s="4"/>
      <c r="AC2" s="4"/>
      <c r="AD2" s="4"/>
      <c r="AE2" s="4"/>
      <c r="AF2" s="4"/>
      <c r="AG2" s="4"/>
      <c r="AH2" s="14"/>
      <c r="AI2" s="4"/>
      <c r="AJ2" s="14"/>
      <c r="AK2" s="4"/>
      <c r="AL2" s="14"/>
      <c r="AM2" s="4"/>
      <c r="AN2" s="14"/>
      <c r="AO2" s="14"/>
      <c r="AP2" s="14" t="s">
        <v>91</v>
      </c>
      <c r="AQ2" s="14" t="s">
        <v>40</v>
      </c>
      <c r="AR2" s="14" t="s">
        <v>91</v>
      </c>
    </row>
    <row r="3" spans="1:44" s="2" customFormat="1" ht="40.5" x14ac:dyDescent="0.15">
      <c r="A3" s="4" t="s">
        <v>25</v>
      </c>
      <c r="B3" s="4" t="s">
        <v>23</v>
      </c>
      <c r="C3" s="4" t="s">
        <v>26</v>
      </c>
      <c r="D3" s="4"/>
      <c r="E3" s="4" t="s">
        <v>27</v>
      </c>
      <c r="F3" s="8" t="s">
        <v>32</v>
      </c>
      <c r="G3" s="11" t="s">
        <v>99</v>
      </c>
      <c r="H3" s="4" t="s">
        <v>33</v>
      </c>
      <c r="I3" s="4" t="s">
        <v>24</v>
      </c>
      <c r="J3" s="11" t="s">
        <v>52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33</v>
      </c>
      <c r="X3" s="4" t="s">
        <v>112</v>
      </c>
      <c r="Y3" s="4" t="s">
        <v>37</v>
      </c>
      <c r="Z3" s="4" t="s">
        <v>37</v>
      </c>
      <c r="AA3" s="4" t="s">
        <v>40</v>
      </c>
      <c r="AB3" s="4"/>
      <c r="AC3" s="4"/>
      <c r="AD3" s="4" t="s">
        <v>72</v>
      </c>
      <c r="AE3" s="4" t="s">
        <v>73</v>
      </c>
      <c r="AF3" s="4" t="s">
        <v>75</v>
      </c>
      <c r="AG3" s="4" t="s">
        <v>77</v>
      </c>
      <c r="AH3" s="14">
        <v>469750861</v>
      </c>
      <c r="AI3" s="4" t="s">
        <v>80</v>
      </c>
      <c r="AJ3" s="14" t="s">
        <v>82</v>
      </c>
      <c r="AK3" s="4" t="s">
        <v>85</v>
      </c>
      <c r="AL3" s="14" t="s">
        <v>86</v>
      </c>
      <c r="AM3" s="4" t="s">
        <v>82</v>
      </c>
      <c r="AN3" s="14" t="s">
        <v>92</v>
      </c>
      <c r="AO3" s="14" t="s">
        <v>89</v>
      </c>
      <c r="AP3" s="14" t="s">
        <v>91</v>
      </c>
      <c r="AQ3" s="14" t="s">
        <v>40</v>
      </c>
      <c r="AR3" s="14" t="s">
        <v>91</v>
      </c>
    </row>
    <row r="4" spans="1:44" s="2" customFormat="1" ht="27" x14ac:dyDescent="0.15">
      <c r="A4" s="4" t="s">
        <v>41</v>
      </c>
      <c r="B4" s="4" t="s">
        <v>23</v>
      </c>
      <c r="C4" s="4" t="s">
        <v>132</v>
      </c>
      <c r="D4" s="5" t="n">
        <f>C4+1</f>
        <v>5564.0</v>
      </c>
      <c r="E4" s="5" t="n">
        <f>C4+1</f>
        <v>5564.0</v>
      </c>
      <c r="F4" s="10" t="s">
        <v>51</v>
      </c>
      <c r="G4" s="11" t="s">
        <v>100</v>
      </c>
      <c r="H4" s="4" t="s">
        <v>33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118</v>
      </c>
      <c r="T4" s="4" t="s">
        <v>118</v>
      </c>
      <c r="U4" s="4" t="s">
        <v>133</v>
      </c>
      <c r="V4" s="6" t="str">
        <f>TEXT(E4,"#,##0")&amp;" km"</f>
        <v>5,564 km</v>
      </c>
      <c r="W4" s="4" t="s">
        <v>33</v>
      </c>
      <c r="X4" s="4" t="s">
        <v>116</v>
      </c>
      <c r="Y4" s="4" t="s">
        <v>37</v>
      </c>
      <c r="Z4" s="4" t="s">
        <v>37</v>
      </c>
      <c r="AA4" s="4"/>
      <c r="AB4" s="4"/>
      <c r="AC4" s="4"/>
      <c r="AD4" s="4"/>
      <c r="AE4" s="4"/>
      <c r="AF4" s="4"/>
      <c r="AG4" s="4"/>
      <c r="AH4" s="14"/>
      <c r="AI4" s="4"/>
      <c r="AJ4" s="14"/>
      <c r="AK4" s="4"/>
      <c r="AL4" s="14"/>
      <c r="AM4" s="4"/>
      <c r="AN4" s="14"/>
      <c r="AO4" s="14"/>
      <c r="AP4" s="14" t="s">
        <v>91</v>
      </c>
      <c r="AQ4" s="14" t="s">
        <v>40</v>
      </c>
      <c r="AR4" s="14" t="s">
        <v>91</v>
      </c>
    </row>
    <row r="5" spans="1:44" s="2" customFormat="1" ht="27" x14ac:dyDescent="0.2">
      <c r="A5" s="4" t="s">
        <v>42</v>
      </c>
      <c r="B5" s="4" t="s">
        <v>23</v>
      </c>
      <c r="C5" s="4" t="s">
        <v>47</v>
      </c>
      <c r="D5" s="4"/>
      <c r="E5" s="4" t="s">
        <v>48</v>
      </c>
      <c r="F5" s="10" t="s">
        <v>51</v>
      </c>
      <c r="G5" s="11" t="s">
        <v>100</v>
      </c>
      <c r="H5" s="4" t="s">
        <v>33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49</v>
      </c>
      <c r="T5" s="4" t="s">
        <v>50</v>
      </c>
      <c r="U5" s="4" t="s">
        <v>96</v>
      </c>
      <c r="V5" s="4" t="s">
        <v>97</v>
      </c>
      <c r="W5" s="4" t="s">
        <v>33</v>
      </c>
      <c r="X5" s="4" t="s">
        <v>113</v>
      </c>
      <c r="Y5" s="4" t="s">
        <v>37</v>
      </c>
      <c r="Z5" s="4" t="s">
        <v>37</v>
      </c>
      <c r="AA5" s="4" t="s">
        <v>40</v>
      </c>
      <c r="AB5" s="4" t="s">
        <v>53</v>
      </c>
      <c r="AC5" s="4" t="s">
        <v>55</v>
      </c>
      <c r="AD5" s="4" t="s">
        <v>72</v>
      </c>
      <c r="AE5" s="4" t="s">
        <v>73</v>
      </c>
      <c r="AF5" s="4" t="s">
        <v>75</v>
      </c>
      <c r="AG5" s="4" t="s">
        <v>77</v>
      </c>
      <c r="AH5" s="14">
        <v>469750861</v>
      </c>
      <c r="AI5" s="4" t="s">
        <v>80</v>
      </c>
      <c r="AJ5" s="14" t="s">
        <v>82</v>
      </c>
      <c r="AK5" s="4" t="s">
        <v>85</v>
      </c>
      <c r="AL5" s="14" t="s">
        <v>86</v>
      </c>
      <c r="AM5" s="4" t="s">
        <v>82</v>
      </c>
      <c r="AN5" s="14" t="s">
        <v>98</v>
      </c>
      <c r="AO5" s="15" t="s">
        <v>98</v>
      </c>
      <c r="AP5" s="14" t="s">
        <v>91</v>
      </c>
      <c r="AQ5" s="14" t="s">
        <v>40</v>
      </c>
      <c r="AR5" s="14" t="s">
        <v>91</v>
      </c>
    </row>
    <row r="6" spans="1:44" s="2" customFormat="1" ht="27" x14ac:dyDescent="0.15">
      <c r="A6" s="4" t="s">
        <v>43</v>
      </c>
      <c r="B6" s="4" t="s">
        <v>23</v>
      </c>
      <c r="C6" s="4" t="s">
        <v>134</v>
      </c>
      <c r="D6" s="5" t="n">
        <f>C6+1</f>
        <v>5565.0</v>
      </c>
      <c r="E6" s="5" t="n">
        <f>C6+1</f>
        <v>5565.0</v>
      </c>
      <c r="F6" s="11" t="s">
        <v>57</v>
      </c>
      <c r="G6" s="11" t="s">
        <v>101</v>
      </c>
      <c r="H6" s="4" t="s">
        <v>33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118</v>
      </c>
      <c r="T6" s="4" t="s">
        <v>118</v>
      </c>
      <c r="U6" s="4" t="s">
        <v>135</v>
      </c>
      <c r="V6" s="6" t="str">
        <f>TEXT(E6,"#,##0")&amp;" km"</f>
        <v>5,565 km</v>
      </c>
      <c r="W6" s="4" t="s">
        <v>33</v>
      </c>
      <c r="X6" s="4" t="s">
        <v>116</v>
      </c>
      <c r="Y6" s="4" t="s">
        <v>37</v>
      </c>
      <c r="Z6" s="4" t="s">
        <v>37</v>
      </c>
      <c r="AA6" s="4"/>
      <c r="AB6" s="4"/>
      <c r="AC6" s="4"/>
      <c r="AD6" s="4"/>
      <c r="AE6" s="4"/>
      <c r="AF6" s="4"/>
      <c r="AG6" s="4"/>
      <c r="AH6" s="14"/>
      <c r="AI6" s="4"/>
      <c r="AJ6" s="14"/>
      <c r="AK6" s="4"/>
      <c r="AL6" s="14"/>
      <c r="AM6" s="4"/>
      <c r="AN6" s="14"/>
      <c r="AO6" s="14"/>
      <c r="AP6" s="14" t="s">
        <v>91</v>
      </c>
      <c r="AQ6" s="14" t="s">
        <v>40</v>
      </c>
      <c r="AR6" s="14" t="s">
        <v>91</v>
      </c>
    </row>
    <row r="7" spans="1:44" s="2" customFormat="1" ht="27" x14ac:dyDescent="0.15">
      <c r="A7" s="4" t="s">
        <v>44</v>
      </c>
      <c r="B7" s="4" t="s">
        <v>23</v>
      </c>
      <c r="C7" s="4" t="s">
        <v>59</v>
      </c>
      <c r="D7" s="4"/>
      <c r="E7" s="4" t="s">
        <v>61</v>
      </c>
      <c r="F7" s="11" t="s">
        <v>57</v>
      </c>
      <c r="G7" s="11" t="s">
        <v>101</v>
      </c>
      <c r="H7" s="4" t="s">
        <v>33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63</v>
      </c>
      <c r="T7" s="4" t="s">
        <v>64</v>
      </c>
      <c r="U7" s="4" t="s">
        <v>65</v>
      </c>
      <c r="V7" s="4" t="s">
        <v>66</v>
      </c>
      <c r="W7" s="4" t="s">
        <v>33</v>
      </c>
      <c r="X7" s="4" t="s">
        <v>114</v>
      </c>
      <c r="Y7" s="4" t="s">
        <v>37</v>
      </c>
      <c r="Z7" s="4" t="s">
        <v>37</v>
      </c>
      <c r="AA7" s="4" t="s">
        <v>40</v>
      </c>
      <c r="AB7" s="4"/>
      <c r="AC7" s="4"/>
      <c r="AD7" s="4" t="s">
        <v>72</v>
      </c>
      <c r="AE7" s="4" t="s">
        <v>73</v>
      </c>
      <c r="AF7" s="4" t="s">
        <v>75</v>
      </c>
      <c r="AG7" s="4" t="s">
        <v>77</v>
      </c>
      <c r="AH7" s="14">
        <v>469750861</v>
      </c>
      <c r="AI7" s="4" t="s">
        <v>80</v>
      </c>
      <c r="AJ7" s="14" t="s">
        <v>82</v>
      </c>
      <c r="AK7" s="4" t="s">
        <v>85</v>
      </c>
      <c r="AL7" s="14" t="s">
        <v>86</v>
      </c>
      <c r="AM7" s="4" t="s">
        <v>82</v>
      </c>
      <c r="AN7" s="14" t="s">
        <v>92</v>
      </c>
      <c r="AO7" s="14" t="s">
        <v>89</v>
      </c>
      <c r="AP7" s="14" t="s">
        <v>91</v>
      </c>
      <c r="AQ7" s="14" t="s">
        <v>40</v>
      </c>
      <c r="AR7" s="14" t="s">
        <v>91</v>
      </c>
    </row>
    <row r="8" spans="1:44" s="2" customFormat="1" ht="27" x14ac:dyDescent="0.15">
      <c r="A8" s="4" t="s">
        <v>45</v>
      </c>
      <c r="B8" s="4" t="s">
        <v>23</v>
      </c>
      <c r="C8" s="4" t="s">
        <v>136</v>
      </c>
      <c r="D8" s="5" t="n">
        <f>C8+1</f>
        <v>5566.0</v>
      </c>
      <c r="E8" s="5" t="n">
        <f>C8+1</f>
        <v>5566.0</v>
      </c>
      <c r="F8" s="12" t="s">
        <v>58</v>
      </c>
      <c r="G8" s="11" t="s">
        <v>102</v>
      </c>
      <c r="H8" s="4" t="s">
        <v>33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118</v>
      </c>
      <c r="T8" s="4" t="s">
        <v>118</v>
      </c>
      <c r="U8" s="4" t="s">
        <v>137</v>
      </c>
      <c r="V8" s="6" t="str">
        <f>TEXT(E8,"#,##0")&amp;" km"</f>
        <v>5,566 km</v>
      </c>
      <c r="W8" s="4" t="s">
        <v>33</v>
      </c>
      <c r="X8" s="4" t="s">
        <v>116</v>
      </c>
      <c r="Y8" s="4" t="s">
        <v>37</v>
      </c>
      <c r="Z8" s="4" t="s">
        <v>37</v>
      </c>
      <c r="AA8" s="4"/>
      <c r="AB8" s="4"/>
      <c r="AC8" s="4"/>
      <c r="AD8" s="4"/>
      <c r="AE8" s="4"/>
      <c r="AF8" s="4"/>
      <c r="AG8" s="4"/>
      <c r="AH8" s="14"/>
      <c r="AI8" s="4"/>
      <c r="AJ8" s="14"/>
      <c r="AK8" s="4"/>
      <c r="AL8" s="14"/>
      <c r="AM8" s="4"/>
      <c r="AN8" s="14"/>
      <c r="AO8" s="14"/>
      <c r="AP8" s="14" t="s">
        <v>91</v>
      </c>
      <c r="AQ8" s="14" t="s">
        <v>40</v>
      </c>
      <c r="AR8" s="14" t="s">
        <v>91</v>
      </c>
    </row>
    <row r="9" spans="1:44" s="2" customFormat="1" ht="27" x14ac:dyDescent="0.15">
      <c r="A9" s="4" t="s">
        <v>46</v>
      </c>
      <c r="B9" s="4" t="s">
        <v>23</v>
      </c>
      <c r="C9" s="4" t="s">
        <v>60</v>
      </c>
      <c r="D9" s="4"/>
      <c r="E9" s="4" t="s">
        <v>62</v>
      </c>
      <c r="F9" s="12" t="s">
        <v>58</v>
      </c>
      <c r="G9" s="11" t="s">
        <v>102</v>
      </c>
      <c r="H9" s="4" t="s">
        <v>33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67</v>
      </c>
      <c r="T9" s="4" t="s">
        <v>68</v>
      </c>
      <c r="U9" s="4" t="s">
        <v>69</v>
      </c>
      <c r="V9" s="4" t="s">
        <v>70</v>
      </c>
      <c r="W9" s="4" t="s">
        <v>33</v>
      </c>
      <c r="X9" s="4" t="s">
        <v>115</v>
      </c>
      <c r="Y9" s="4" t="s">
        <v>37</v>
      </c>
      <c r="Z9" s="4" t="s">
        <v>37</v>
      </c>
      <c r="AA9" s="4" t="s">
        <v>40</v>
      </c>
      <c r="AB9" s="4"/>
      <c r="AC9" s="4"/>
      <c r="AD9" s="4" t="s">
        <v>72</v>
      </c>
      <c r="AE9" s="4" t="s">
        <v>73</v>
      </c>
      <c r="AF9" s="4" t="s">
        <v>75</v>
      </c>
      <c r="AG9" s="4" t="s">
        <v>77</v>
      </c>
      <c r="AH9" s="14">
        <v>469750861</v>
      </c>
      <c r="AI9" s="4" t="s">
        <v>80</v>
      </c>
      <c r="AJ9" s="14" t="s">
        <v>82</v>
      </c>
      <c r="AK9" s="4" t="s">
        <v>85</v>
      </c>
      <c r="AL9" s="14" t="s">
        <v>86</v>
      </c>
      <c r="AM9" s="4" t="s">
        <v>82</v>
      </c>
      <c r="AN9" s="14" t="s">
        <v>92</v>
      </c>
      <c r="AO9" s="14" t="s">
        <v>89</v>
      </c>
      <c r="AP9" s="4" t="s">
        <v>91</v>
      </c>
      <c r="AQ9" s="14" t="s">
        <v>40</v>
      </c>
      <c r="AR9" s="14" t="s">
        <v>91</v>
      </c>
    </row>
    <row r="10" spans="1:44" ht="14.25" x14ac:dyDescent="0.2">
      <c r="U10" s="7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2026-06-02T05:43:22Z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