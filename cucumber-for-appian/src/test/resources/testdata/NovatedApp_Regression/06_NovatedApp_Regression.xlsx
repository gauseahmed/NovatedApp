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>
    <mc:Choice Requires="x15">
      <x15ac:absPath xmlns:x15ac="http://schemas.microsoft.com/office/spreadsheetml/2010/11/ac" url="C:\Users\dhana\IdeaProjects\NovatedApp\cucumber-for-appian\src\test\resources\testdata\NovatedApp_Regression\"/>
    </mc:Choice>
  </mc:AlternateContent>
  <xr:revisionPtr revIDLastSave="0" documentId="13_ncr:1_{65A2F77D-19BE-496C-A7DB-A53607EC15A5}" xr6:coauthVersionLast="47" xr6:coauthVersionMax="47" xr10:uidLastSave="{00000000-0000-0000-0000-000000000000}"/>
  <bookViews>
    <workbookView xWindow="-120" yWindow="-120" windowWidth="29040" windowHeight="15720" tabRatio="873" xr2:uid="{00000000-000D-0000-FFFF-FFFF00000000}"/>
  </bookViews>
  <sheets>
    <sheet name="TestData" sheetId="14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" i="14" l="1"/>
  <c r="AK4" i="14"/>
  <c r="AE4" i="14"/>
  <c r="D4" i="14"/>
  <c r="E4" i="14" s="1"/>
  <c r="V4" i="14" s="1"/>
  <c r="AO2" i="14"/>
  <c r="AK2" i="14"/>
  <c r="AE2" i="14"/>
  <c r="D2" i="14"/>
  <c r="E2" i="14" s="1"/>
  <c r="V2" i="14" s="1"/>
</calcChain>
</file>

<file path=xl/sharedStrings.xml><?xml version="1.0" encoding="utf-8"?>
<sst xmlns="http://schemas.openxmlformats.org/spreadsheetml/2006/main" count="273" uniqueCount="142">
  <si>
    <t>TC ID</t>
  </si>
  <si>
    <t>Request Type</t>
  </si>
  <si>
    <t>Last Odometer Reading</t>
  </si>
  <si>
    <t>Updated Odometer Reading</t>
  </si>
  <si>
    <t>New Odometer</t>
  </si>
  <si>
    <t>Claim Type</t>
  </si>
  <si>
    <t>Amount ($)</t>
  </si>
  <si>
    <t>Proof of Payment</t>
  </si>
  <si>
    <t>Scheduled Service</t>
  </si>
  <si>
    <t>Maintenance Activity Completed</t>
  </si>
  <si>
    <t>Tyre Quantity</t>
  </si>
  <si>
    <t>Policy Start Date</t>
  </si>
  <si>
    <t>New Registration Expiry Date</t>
  </si>
  <si>
    <t>Insurance Company</t>
  </si>
  <si>
    <t>Insurance Expiry Date</t>
  </si>
  <si>
    <t>Insurance Company Name</t>
  </si>
  <si>
    <t>Claim Description</t>
  </si>
  <si>
    <t>Replace Fuel Card</t>
  </si>
  <si>
    <t>Reading Date</t>
  </si>
  <si>
    <t>Last Reading Date</t>
  </si>
  <si>
    <t>Reference Number</t>
  </si>
  <si>
    <t>Odometer</t>
  </si>
  <si>
    <t>TC001</t>
  </si>
  <si>
    <t>N/A</t>
  </si>
  <si>
    <t>TC002</t>
  </si>
  <si>
    <t>${TC001.Last Odometer Reading}</t>
  </si>
  <si>
    <t>${TC001.New Odometer}</t>
  </si>
  <si>
    <t>${TC001.Reading Date}</t>
  </si>
  <si>
    <t>${TC001.Last Reading Date}</t>
  </si>
  <si>
    <t>${TC001.Reference Number}</t>
  </si>
  <si>
    <t>${TC001.Odometer}</t>
  </si>
  <si>
    <t>Mr</t>
  </si>
  <si>
    <t>ORIX Motorpass</t>
  </si>
  <si>
    <t>Fuel Provider</t>
  </si>
  <si>
    <t>56 Juniper Cct, Stretton QLD 4116</t>
  </si>
  <si>
    <t>Delivery Address</t>
  </si>
  <si>
    <t>Request Submission Date</t>
  </si>
  <si>
    <t>Last Update Date</t>
  </si>
  <si>
    <t>Request Subtype</t>
  </si>
  <si>
    <t>Driver Salutation</t>
  </si>
  <si>
    <t>Driver First Name</t>
  </si>
  <si>
    <t>Driver Last Name</t>
  </si>
  <si>
    <t>Driver Name</t>
  </si>
  <si>
    <t>Driver Date of Birth</t>
  </si>
  <si>
    <t>Driver Mobile Phone</t>
  </si>
  <si>
    <t>Driver Email</t>
  </si>
  <si>
    <t>Driver Your Residential Address</t>
  </si>
  <si>
    <t>Driver Employer Name</t>
  </si>
  <si>
    <t>Vehicle</t>
  </si>
  <si>
    <t>Vehicle number</t>
  </si>
  <si>
    <t>Vehicle name</t>
  </si>
  <si>
    <t>Lease End Date</t>
  </si>
  <si>
    <t>Fuel Card</t>
  </si>
  <si>
    <t>New Fuel Card</t>
  </si>
  <si>
    <t>Your Residential Address *</t>
  </si>
  <si>
    <t>${TC001.Fuel Provider}</t>
  </si>
  <si>
    <t>${TC001.Delivery Address}</t>
  </si>
  <si>
    <t>${TC001.Request Submission Date}</t>
  </si>
  <si>
    <t>${TC001.Last Update Date}</t>
  </si>
  <si>
    <t>${TC001.Request Subtype}</t>
  </si>
  <si>
    <t>${TC001.Driver Salutation}</t>
  </si>
  <si>
    <t>${TC001.Driver First Name}</t>
  </si>
  <si>
    <t>${TC001.Driver Last Name}</t>
  </si>
  <si>
    <t>${TC001.Driver Name}</t>
  </si>
  <si>
    <t>${TC001.Driver Date of Birth}</t>
  </si>
  <si>
    <t>${TC001.Driver Mobile Phone}</t>
  </si>
  <si>
    <t>${TC001.Driver Email}</t>
  </si>
  <si>
    <t>${TC001.Driver Your Residential Address}</t>
  </si>
  <si>
    <t>${TC001.Driver Employer Name}</t>
  </si>
  <si>
    <t>${TC001.Vehicle}</t>
  </si>
  <si>
    <t>Lease End Date Updated</t>
  </si>
  <si>
    <t>Status</t>
  </si>
  <si>
    <t>Status1</t>
  </si>
  <si>
    <t>State</t>
  </si>
  <si>
    <t>Registration State</t>
  </si>
  <si>
    <t>Updated By1</t>
  </si>
  <si>
    <t>Assigned To</t>
  </si>
  <si>
    <t>Assigned To1</t>
  </si>
  <si>
    <t>Submitted By</t>
  </si>
  <si>
    <t>Updated By</t>
  </si>
  <si>
    <t>Reason for replacement</t>
  </si>
  <si>
    <t>Fuel Card Number</t>
  </si>
  <si>
    <t>Delivery Address *</t>
  </si>
  <si>
    <t>Joshua</t>
  </si>
  <si>
    <t>Milne</t>
  </si>
  <si>
    <t>05/06/1995</t>
  </si>
  <si>
    <t>0469750861</t>
  </si>
  <si>
    <t>josh.milne1988@gmail.com.test</t>
  </si>
  <si>
    <t>Test Employer</t>
  </si>
  <si>
    <t>EXB72A</t>
  </si>
  <si>
    <t>FORD RANGER</t>
  </si>
  <si>
    <t>17 Aug 2026</t>
  </si>
  <si>
    <t>NSW</t>
  </si>
  <si>
    <t>Auto Lease</t>
  </si>
  <si>
    <t>Unassigned</t>
  </si>
  <si>
    <t>Joshua Milne</t>
  </si>
  <si>
    <t>${TC001.Claim Type}</t>
  </si>
  <si>
    <t>${TC001.Vehicle number}</t>
  </si>
  <si>
    <t>${TC001.Vehicle name}</t>
  </si>
  <si>
    <t>${TC001.Lease End Date}</t>
  </si>
  <si>
    <t>${TC001.Lease End Date Updated}</t>
  </si>
  <si>
    <t>TC003</t>
  </si>
  <si>
    <t xml:space="preserve">Damaged </t>
  </si>
  <si>
    <t>REQ-867</t>
  </si>
  <si>
    <t>26 May 2026 09:25 PM</t>
  </si>
  <si>
    <t>Replacement</t>
  </si>
  <si>
    <t>6002300065394875</t>
  </si>
  <si>
    <t>TC004</t>
  </si>
  <si>
    <t>${TC003.Last Odometer Reading}</t>
  </si>
  <si>
    <t>${TC003.New Odometer}</t>
  </si>
  <si>
    <t>${TC003.Claim Type}</t>
  </si>
  <si>
    <t>${TC003.Reading Date}</t>
  </si>
  <si>
    <t>${TC003.Last Reading Date}</t>
  </si>
  <si>
    <t>${TC003.Reference Number}</t>
  </si>
  <si>
    <t>${TC003.Odometer}</t>
  </si>
  <si>
    <t>${TC003.Fuel Provider}</t>
  </si>
  <si>
    <t>${TC003.Delivery Address}</t>
  </si>
  <si>
    <t>${TC003.Request Submission Date}</t>
  </si>
  <si>
    <t>${TC003.Last Update Date}</t>
  </si>
  <si>
    <t>${TC003.Request Subtype}</t>
  </si>
  <si>
    <t>${TC003.Driver Salutation}</t>
  </si>
  <si>
    <t>${TC003.Driver First Name}</t>
  </si>
  <si>
    <t>${TC003.Driver Last Name}</t>
  </si>
  <si>
    <t>${TC003.Driver Name}</t>
  </si>
  <si>
    <t>${TC003.Driver Date of Birth}</t>
  </si>
  <si>
    <t>${TC003.Driver Mobile Phone}</t>
  </si>
  <si>
    <t>${TC003.Driver Email}</t>
  </si>
  <si>
    <t>${TC003.Driver Your Residential Address}</t>
  </si>
  <si>
    <t>${TC003.Driver Employer Name}</t>
  </si>
  <si>
    <t>${TC003.Vehicle}</t>
  </si>
  <si>
    <t>${TC003.Vehicle number}</t>
  </si>
  <si>
    <t>${TC003.Vehicle name}</t>
  </si>
  <si>
    <t>${TC003.Lease End Date}</t>
  </si>
  <si>
    <t>${TC003.Lease End Date Updated}</t>
  </si>
  <si>
    <t xml:space="preserve">Stolen </t>
  </si>
  <si>
    <t>-</t>
  </si>
  <si>
    <t>REQ-875</t>
  </si>
  <si>
    <t>Fuel Card Cancellation</t>
  </si>
  <si>
    <t>27 May 2026 02:36 PM</t>
  </si>
  <si>
    <t>Cancelled</t>
  </si>
  <si>
    <t>New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</si>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</sst>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[Red]\(0.00\)"/>
    <numFmt numFmtId="165" formatCode="dd\/mm\/yyyy"/>
  </numFmts>
  <fonts count="6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charset val="134"/>
      <scheme val="minor"/>
    </font>
    <font>
      <b/>
      <sz val="11"/>
      <color theme="1"/>
      <name val="Aptos Narrow"/>
      <family val="2"/>
      <scheme val="minor"/>
    </font>
    <font>
      <sz val="9"/>
      <color rgb="FF221A15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"/>
  <sheetViews>
    <sheetView tabSelected="1" topLeftCell="AC1" workbookViewId="0">
      <selection activeCell="AR1" sqref="AR1"/>
    </sheetView>
  </sheetViews>
  <sheetFormatPr defaultColWidth="8.875" defaultRowHeight="13.5" x14ac:dyDescent="0.15"/>
  <sheetData>
    <row r="1" spans="1:54" s="1" customFormat="1" ht="8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33</v>
      </c>
      <c r="X1" s="6" t="s">
        <v>35</v>
      </c>
      <c r="Y1" s="6" t="s">
        <v>36</v>
      </c>
      <c r="Z1" s="6" t="s">
        <v>37</v>
      </c>
      <c r="AA1" s="6" t="s">
        <v>38</v>
      </c>
      <c r="AB1" s="6" t="s">
        <v>39</v>
      </c>
      <c r="AC1" s="6" t="s">
        <v>40</v>
      </c>
      <c r="AD1" s="6" t="s">
        <v>41</v>
      </c>
      <c r="AE1" s="6" t="s">
        <v>42</v>
      </c>
      <c r="AF1" s="6" t="s">
        <v>43</v>
      </c>
      <c r="AG1" s="6" t="s">
        <v>44</v>
      </c>
      <c r="AH1" s="6" t="s">
        <v>45</v>
      </c>
      <c r="AI1" s="6" t="s">
        <v>46</v>
      </c>
      <c r="AJ1" s="7" t="s">
        <v>47</v>
      </c>
      <c r="AK1" s="6" t="s">
        <v>48</v>
      </c>
      <c r="AL1" s="6" t="s">
        <v>49</v>
      </c>
      <c r="AM1" s="6" t="s">
        <v>50</v>
      </c>
      <c r="AN1" s="6" t="s">
        <v>51</v>
      </c>
      <c r="AO1" s="6" t="s">
        <v>70</v>
      </c>
      <c r="AP1" s="6" t="s">
        <v>33</v>
      </c>
      <c r="AQ1" s="6" t="s">
        <v>35</v>
      </c>
      <c r="AR1" s="6" t="s">
        <v>71</v>
      </c>
      <c r="AS1" s="6" t="s">
        <v>72</v>
      </c>
      <c r="AT1" s="6" t="s">
        <v>73</v>
      </c>
      <c r="AU1" s="6" t="s">
        <v>74</v>
      </c>
      <c r="AV1" s="6" t="s">
        <v>75</v>
      </c>
      <c r="AW1" s="6" t="s">
        <v>76</v>
      </c>
      <c r="AX1" s="6" t="s">
        <v>77</v>
      </c>
      <c r="AY1" s="6" t="s">
        <v>78</v>
      </c>
      <c r="AZ1" s="8" t="s">
        <v>79</v>
      </c>
      <c r="BA1" s="1" t="s">
        <v>80</v>
      </c>
      <c r="BB1" s="1" t="s">
        <v>81</v>
      </c>
    </row>
    <row r="2" spans="1:54" s="2" customFormat="1" ht="67.5" x14ac:dyDescent="0.2">
      <c r="A2" s="3" t="s">
        <v>22</v>
      </c>
      <c r="B2" s="3" t="s">
        <v>52</v>
      </c>
      <c r="C2" s="3"/>
      <c r="D2" s="4" t="n">
        <f>C2+1</f>
        <v>1.0</v>
      </c>
      <c r="E2" s="4" t="n">
        <f>D2</f>
        <v>1.0</v>
      </c>
      <c r="F2" s="3" t="s">
        <v>53</v>
      </c>
      <c r="G2" s="3"/>
      <c r="H2" s="3"/>
      <c r="I2" s="3" t="s">
        <v>23</v>
      </c>
      <c r="J2" s="3" t="s">
        <v>23</v>
      </c>
      <c r="K2" s="3" t="s">
        <v>23</v>
      </c>
      <c r="L2" s="3" t="s">
        <v>23</v>
      </c>
      <c r="M2" s="3" t="s">
        <v>23</v>
      </c>
      <c r="N2" s="3" t="s">
        <v>23</v>
      </c>
      <c r="O2" s="3" t="s">
        <v>23</v>
      </c>
      <c r="P2" s="3" t="s">
        <v>23</v>
      </c>
      <c r="Q2" s="3" t="s">
        <v>23</v>
      </c>
      <c r="R2" s="11" t="s">
        <v>134</v>
      </c>
      <c r="S2" s="3"/>
      <c r="T2" s="3"/>
      <c r="U2" s="3" t="s">
        <v>136</v>
      </c>
      <c r="V2" s="5" t="str">
        <f>TEXT(E2,"#,##0")&amp;" km"</f>
        <v>1 km</v>
      </c>
      <c r="W2" s="5" t="s">
        <v>32</v>
      </c>
      <c r="X2" s="5" t="s">
        <v>82</v>
      </c>
      <c r="Y2" s="5" t="s">
        <v>138</v>
      </c>
      <c r="Z2" s="5" t="s">
        <v>138</v>
      </c>
      <c r="AA2" s="5" t="s">
        <v>137</v>
      </c>
      <c r="AB2" s="5" t="s">
        <v>31</v>
      </c>
      <c r="AC2" s="5" t="s">
        <v>83</v>
      </c>
      <c r="AD2" s="5" t="s">
        <v>84</v>
      </c>
      <c r="AE2" s="5" t="str">
        <f>_xlfn.CONCAT(AC2," ",AD2)</f>
        <v>Joshua Milne</v>
      </c>
      <c r="AF2" s="5" t="s">
        <v>85</v>
      </c>
      <c r="AG2" s="5" t="s">
        <v>86</v>
      </c>
      <c r="AH2" s="5" t="s">
        <v>87</v>
      </c>
      <c r="AI2" s="5" t="s">
        <v>54</v>
      </c>
      <c r="AJ2" s="9" t="s">
        <v>135</v>
      </c>
      <c r="AK2" s="5" t="str">
        <f>AM2&amp;" - "&amp;AL2</f>
        <v>FORD RANGER - EXB72A</v>
      </c>
      <c r="AL2" s="5" t="s">
        <v>89</v>
      </c>
      <c r="AM2" s="9" t="s">
        <v>90</v>
      </c>
      <c r="AN2" s="10" t="s">
        <v>91</v>
      </c>
      <c r="AO2" s="10" t="str">
        <f>TEXT(AN2,"dd/mm/yyyy")</f>
        <v>17/08/2026</v>
      </c>
      <c r="AP2" s="5" t="s">
        <v>32</v>
      </c>
      <c r="AQ2" s="5" t="s">
        <v>34</v>
      </c>
      <c r="AR2" s="5" t="s">
        <v>140</v>
      </c>
      <c r="AS2" s="5" t="s">
        <v>141</v>
      </c>
      <c r="AT2" s="5" t="s">
        <v>92</v>
      </c>
      <c r="AU2" s="5" t="s">
        <v>92</v>
      </c>
      <c r="AV2" s="5" t="s">
        <v>93</v>
      </c>
      <c r="AW2" s="5" t="s">
        <v>94</v>
      </c>
      <c r="AX2" s="5" t="s">
        <v>93</v>
      </c>
      <c r="AY2" s="5" t="s">
        <v>95</v>
      </c>
      <c r="AZ2" s="5" t="s">
        <v>95</v>
      </c>
      <c r="BA2" s="11"/>
      <c r="BB2" t="s" s="0">
        <v>106</v>
      </c>
    </row>
    <row r="3" spans="1:54" s="2" customFormat="1" ht="81" x14ac:dyDescent="0.2">
      <c r="A3" s="3" t="s">
        <v>24</v>
      </c>
      <c r="B3" s="3" t="s">
        <v>52</v>
      </c>
      <c r="C3" s="3" t="s">
        <v>25</v>
      </c>
      <c r="D3" s="3"/>
      <c r="E3" s="3" t="s">
        <v>26</v>
      </c>
      <c r="F3" s="3" t="s">
        <v>96</v>
      </c>
      <c r="G3" s="3"/>
      <c r="H3" s="3"/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11" t="s">
        <v>134</v>
      </c>
      <c r="S3" s="3" t="s">
        <v>27</v>
      </c>
      <c r="T3" s="3" t="s">
        <v>28</v>
      </c>
      <c r="U3" s="3" t="s">
        <v>29</v>
      </c>
      <c r="V3" s="3" t="s">
        <v>30</v>
      </c>
      <c r="W3" s="3" t="s">
        <v>55</v>
      </c>
      <c r="X3" s="3" t="s">
        <v>56</v>
      </c>
      <c r="Y3" s="3" t="s">
        <v>57</v>
      </c>
      <c r="Z3" s="3" t="s">
        <v>58</v>
      </c>
      <c r="AA3" s="3" t="s">
        <v>59</v>
      </c>
      <c r="AB3" s="3" t="s">
        <v>60</v>
      </c>
      <c r="AC3" s="3" t="s">
        <v>61</v>
      </c>
      <c r="AD3" s="3" t="s">
        <v>62</v>
      </c>
      <c r="AE3" s="3" t="s">
        <v>63</v>
      </c>
      <c r="AF3" s="3" t="s">
        <v>64</v>
      </c>
      <c r="AG3" s="3" t="s">
        <v>65</v>
      </c>
      <c r="AH3" s="3" t="s">
        <v>66</v>
      </c>
      <c r="AI3" s="3" t="s">
        <v>67</v>
      </c>
      <c r="AJ3" s="3" t="s">
        <v>68</v>
      </c>
      <c r="AK3" s="3" t="s">
        <v>69</v>
      </c>
      <c r="AL3" s="3" t="s">
        <v>97</v>
      </c>
      <c r="AM3" s="3" t="s">
        <v>98</v>
      </c>
      <c r="AN3" s="3" t="s">
        <v>99</v>
      </c>
      <c r="AO3" s="3" t="s">
        <v>100</v>
      </c>
      <c r="AP3" s="3" t="s">
        <v>55</v>
      </c>
      <c r="AQ3" s="5" t="s">
        <v>34</v>
      </c>
      <c r="AR3" s="5" t="s">
        <v>140</v>
      </c>
      <c r="AS3" s="5" t="s">
        <v>141</v>
      </c>
      <c r="AT3" s="3" t="s">
        <v>92</v>
      </c>
      <c r="AU3" s="3" t="s">
        <v>92</v>
      </c>
      <c r="AV3" s="3" t="s">
        <v>93</v>
      </c>
      <c r="AW3" s="3" t="s">
        <v>94</v>
      </c>
      <c r="AX3" s="3" t="s">
        <v>93</v>
      </c>
      <c r="AY3" s="3" t="s">
        <v>95</v>
      </c>
      <c r="AZ3" s="3" t="s">
        <v>95</v>
      </c>
      <c r="BA3" s="11"/>
      <c r="BB3" t="s" s="0">
        <v>106</v>
      </c>
    </row>
    <row r="4" spans="1:54" ht="67.5" x14ac:dyDescent="0.2">
      <c r="A4" s="3" t="s">
        <v>101</v>
      </c>
      <c r="B4" s="3" t="s">
        <v>52</v>
      </c>
      <c r="C4" s="3"/>
      <c r="D4" s="4" t="n">
        <f>C4+1</f>
        <v>1.0</v>
      </c>
      <c r="E4" s="4" t="n">
        <f>D4</f>
        <v>1.0</v>
      </c>
      <c r="F4" s="3" t="s">
        <v>53</v>
      </c>
      <c r="G4" s="3"/>
      <c r="H4" s="3"/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11" t="s">
        <v>134</v>
      </c>
      <c r="S4" s="3"/>
      <c r="T4" s="3"/>
      <c r="U4" s="3" t="s">
        <v>103</v>
      </c>
      <c r="V4" s="5" t="str">
        <f>TEXT(E4,"#,##0")&amp;" km"</f>
        <v>1 km</v>
      </c>
      <c r="W4" s="5" t="s">
        <v>32</v>
      </c>
      <c r="X4" s="5" t="s">
        <v>82</v>
      </c>
      <c r="Y4" s="5" t="s">
        <v>104</v>
      </c>
      <c r="Z4" s="5" t="s">
        <v>104</v>
      </c>
      <c r="AA4" s="5" t="s">
        <v>105</v>
      </c>
      <c r="AB4" s="5" t="s">
        <v>31</v>
      </c>
      <c r="AC4" s="5" t="s">
        <v>83</v>
      </c>
      <c r="AD4" s="5" t="s">
        <v>84</v>
      </c>
      <c r="AE4" s="5" t="str">
        <f>_xlfn.CONCAT(AC4," ",AD4)</f>
        <v>Joshua Milne</v>
      </c>
      <c r="AF4" s="5" t="s">
        <v>85</v>
      </c>
      <c r="AG4" s="5" t="s">
        <v>86</v>
      </c>
      <c r="AH4" s="5" t="s">
        <v>87</v>
      </c>
      <c r="AI4" s="5" t="s">
        <v>54</v>
      </c>
      <c r="AJ4" s="9" t="s">
        <v>88</v>
      </c>
      <c r="AK4" s="5" t="str">
        <f>AM4&amp;" - "&amp;AL4</f>
        <v>FORD RANGER - EXB72A</v>
      </c>
      <c r="AL4" s="5" t="s">
        <v>89</v>
      </c>
      <c r="AM4" s="9" t="s">
        <v>90</v>
      </c>
      <c r="AN4" s="10" t="s">
        <v>91</v>
      </c>
      <c r="AO4" s="10" t="str">
        <f>TEXT(AN4,"dd/mm/yyyy")</f>
        <v>17/08/2026</v>
      </c>
      <c r="AP4" s="5" t="s">
        <v>32</v>
      </c>
      <c r="AQ4" s="5" t="s">
        <v>34</v>
      </c>
      <c r="AR4" s="5" t="s">
        <v>139</v>
      </c>
      <c r="AS4" s="5" t="s">
        <v>139</v>
      </c>
      <c r="AT4" s="5" t="s">
        <v>92</v>
      </c>
      <c r="AU4" s="5" t="s">
        <v>92</v>
      </c>
      <c r="AV4" s="5" t="s">
        <v>93</v>
      </c>
      <c r="AW4" s="5" t="s">
        <v>94</v>
      </c>
      <c r="AX4" s="5" t="s">
        <v>93</v>
      </c>
      <c r="AY4" s="5" t="s">
        <v>95</v>
      </c>
      <c r="AZ4" s="5" t="s">
        <v>95</v>
      </c>
      <c r="BA4" s="11" t="s">
        <v>102</v>
      </c>
      <c r="BB4" t="s" s="0">
        <v>106</v>
      </c>
    </row>
    <row r="5" spans="1:54" ht="81" x14ac:dyDescent="0.2">
      <c r="A5" s="3" t="s">
        <v>107</v>
      </c>
      <c r="B5" s="3" t="s">
        <v>52</v>
      </c>
      <c r="C5" s="3" t="s">
        <v>108</v>
      </c>
      <c r="D5" s="3"/>
      <c r="E5" s="3" t="s">
        <v>109</v>
      </c>
      <c r="F5" s="3" t="s">
        <v>110</v>
      </c>
      <c r="G5" s="3"/>
      <c r="H5" s="3"/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11" t="s">
        <v>102</v>
      </c>
      <c r="S5" s="3" t="s">
        <v>111</v>
      </c>
      <c r="T5" s="3" t="s">
        <v>112</v>
      </c>
      <c r="U5" s="3" t="s">
        <v>113</v>
      </c>
      <c r="V5" s="3" t="s">
        <v>114</v>
      </c>
      <c r="W5" s="3" t="s">
        <v>115</v>
      </c>
      <c r="X5" s="3" t="s">
        <v>116</v>
      </c>
      <c r="Y5" s="3" t="s">
        <v>117</v>
      </c>
      <c r="Z5" s="3" t="s">
        <v>118</v>
      </c>
      <c r="AA5" s="3" t="s">
        <v>119</v>
      </c>
      <c r="AB5" s="3" t="s">
        <v>120</v>
      </c>
      <c r="AC5" s="3" t="s">
        <v>121</v>
      </c>
      <c r="AD5" s="3" t="s">
        <v>122</v>
      </c>
      <c r="AE5" s="3" t="s">
        <v>123</v>
      </c>
      <c r="AF5" s="3" t="s">
        <v>124</v>
      </c>
      <c r="AG5" s="3" t="s">
        <v>125</v>
      </c>
      <c r="AH5" s="3" t="s">
        <v>126</v>
      </c>
      <c r="AI5" s="3" t="s">
        <v>127</v>
      </c>
      <c r="AJ5" s="3" t="s">
        <v>128</v>
      </c>
      <c r="AK5" s="3" t="s">
        <v>129</v>
      </c>
      <c r="AL5" s="3" t="s">
        <v>130</v>
      </c>
      <c r="AM5" s="3" t="s">
        <v>131</v>
      </c>
      <c r="AN5" s="3" t="s">
        <v>132</v>
      </c>
      <c r="AO5" s="3" t="s">
        <v>133</v>
      </c>
      <c r="AP5" s="3" t="s">
        <v>115</v>
      </c>
      <c r="AQ5" s="5" t="s">
        <v>34</v>
      </c>
      <c r="AR5" s="5" t="s">
        <v>139</v>
      </c>
      <c r="AS5" s="5" t="s">
        <v>139</v>
      </c>
      <c r="AT5" s="3" t="s">
        <v>92</v>
      </c>
      <c r="AU5" s="3" t="s">
        <v>92</v>
      </c>
      <c r="AV5" s="3" t="s">
        <v>93</v>
      </c>
      <c r="AW5" s="3" t="s">
        <v>94</v>
      </c>
      <c r="AX5" s="3" t="s">
        <v>93</v>
      </c>
      <c r="AY5" s="3" t="s">
        <v>95</v>
      </c>
      <c r="AZ5" s="3" t="s">
        <v>95</v>
      </c>
      <c r="BA5" s="11" t="s">
        <v>102</v>
      </c>
      <c r="BB5" t="s" s="0">
        <v>106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2025-12-01T12:03:00Z</dcterms:created>
  <dc:creator>Sonu Singh</dc:creator>
  <cp:lastModifiedBy>Dhanalakshmi Jayaraman</cp:lastModifiedBy>
  <dcterms:modified xsi:type="dcterms:W3CDTF">2026-05-27T07:22:27Z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7DCB9CEED9C140F39456F2E5680BD05D_12</vt:lpwstr>
  </property>
  <property fmtid="{D5CDD505-2E9C-101B-9397-08002B2CF9AE}" pid="3" name="KSOProductBuildVer">
    <vt:lpwstr>1033-12.2.0.23196</vt:lpwstr>
  </property>
</Properties>
</file>