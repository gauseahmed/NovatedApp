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EA0BC2B7-F14E-46C2-96A1-A5D4D62A0D62}" xr6:coauthVersionLast="47" xr6:coauthVersionMax="47" xr10:uidLastSave="{00000000-0000-0000-0000-000000000000}"/>
  <bookViews>
    <workbookView xWindow="-108" yWindow="-108" windowWidth="23256" windowHeight="12456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4" l="1"/>
  <c r="E6" i="14"/>
  <c r="V6" i="14" s="1"/>
  <c r="E2" i="14"/>
  <c r="E4" i="14"/>
  <c r="D8" i="14"/>
  <c r="D6" i="14"/>
  <c r="D4" i="14"/>
  <c r="V4" i="14" s="1"/>
  <c r="D2" i="14"/>
  <c r="V2" i="14" l="1"/>
</calcChain>
</file>

<file path=xl/sharedStrings.xml><?xml version="1.0" encoding="utf-8"?>
<sst xmlns="http://schemas.openxmlformats.org/spreadsheetml/2006/main" count="224" uniqueCount="91">
  <si>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</si>
  <si>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</si>
  <si>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</si>
  <si>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</si>
  <si>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</si>
  <si>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</si>
  <si>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</si>
  <si>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</si>
  <si>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</si>
  <si>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</si>
  <si>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</si>
  <si>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</si>
  <si>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</si>
  <si>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</si>
  <si>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</si>
  <si>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</si>
  <si>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</si>
  <si>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</si>
  <si>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</si>
  <si>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</si>
  <si>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</si>
  <si>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</si>
  <si>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</si>
  <si>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</si>
  <si>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</si>
  <si>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</si>
  <si>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</si>
  <si>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</si>
  <si>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</si>
  <si>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</si>
  <si>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</si>
  <si>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</si>
  <si>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Maintenance</t>
  </si>
  <si>
    <t>C:\Users\Public\Documents\Invoice.pdf</t>
  </si>
  <si>
    <t>Tax Invoice</t>
  </si>
  <si>
    <t>12301</t>
  </si>
  <si>
    <t>4 May 2026</t>
  </si>
  <si>
    <t>REQ-652</t>
  </si>
  <si>
    <t>End Of Lease Date</t>
  </si>
  <si>
    <t>30/08/2029 10:00 GMT+10:00</t>
  </si>
  <si>
    <t>Submitted By</t>
  </si>
  <si>
    <t>Toshihiko Inafune</t>
  </si>
  <si>
    <t>Updated By</t>
  </si>
  <si>
    <t>Assigned To</t>
  </si>
  <si>
    <t>Unassigned</t>
  </si>
  <si>
    <t>TC003</t>
  </si>
  <si>
    <t>TC004</t>
  </si>
  <si>
    <t>TC005</t>
  </si>
  <si>
    <t>TC006</t>
  </si>
  <si>
    <t>TC007</t>
  </si>
  <si>
    <t>TC008</t>
  </si>
  <si>
    <t>${TC003.Last Odometer Reading}</t>
  </si>
  <si>
    <t>${TC003.New Odometer}</t>
  </si>
  <si>
    <t>${TC003.Reading Date}</t>
  </si>
  <si>
    <t>${TC003.Last Reading Date}</t>
  </si>
  <si>
    <t>Tyres</t>
  </si>
  <si>
    <t>Vehicle General maintenance has been completed</t>
  </si>
  <si>
    <t>12303</t>
  </si>
  <si>
    <t>REQ-622</t>
  </si>
  <si>
    <t>11/02/2026 11:00 GMT+11:00</t>
  </si>
  <si>
    <t>David Cracknell</t>
  </si>
  <si>
    <t>22 Apr 2026 04:33 AM</t>
  </si>
  <si>
    <t>Submitted On</t>
  </si>
  <si>
    <t>22 Apr 2026 04:34 AM</t>
  </si>
  <si>
    <t>Updated On</t>
  </si>
  <si>
    <t>10,063 km</t>
  </si>
  <si>
    <t>$400.00</t>
  </si>
  <si>
    <t>Rotate &amp; Balance Wheels</t>
  </si>
  <si>
    <t>Tyre Puncture</t>
  </si>
  <si>
    <t>12,305 km</t>
  </si>
  <si>
    <t>$200.00</t>
  </si>
  <si>
    <t>5 May 2026</t>
  </si>
  <si>
    <t>12306</t>
  </si>
  <si>
    <t>${TC005.Last Odometer Reading}</t>
  </si>
  <si>
    <t>${TC007.Last Odometer Reading}</t>
  </si>
  <si>
    <t>${TC005.New Odometer}</t>
  </si>
  <si>
    <t>${TC007.New Odometer}</t>
  </si>
  <si>
    <t>${TC005.Reading Date}</t>
  </si>
  <si>
    <t>${TC005.Last Reading Date}</t>
  </si>
  <si>
    <t>${TC005.Reference Number}</t>
  </si>
  <si>
    <t>${TC005.Odometer}</t>
  </si>
  <si>
    <t>${TC007.Reading Date}</t>
  </si>
  <si>
    <t>${TC007.Last Reading Date}</t>
  </si>
  <si>
    <t>${TC007.Reference Number}</t>
  </si>
  <si>
    <t>${TC007.Odometer}</t>
  </si>
  <si>
    <t>REQ-660</t>
  </si>
  <si>
    <t>12308</t>
  </si>
  <si>
    <t>7 May 2026</t>
  </si>
  <si>
    <t>12322</t>
  </si>
  <si>
    <t>20 May 2026</t>
  </si>
  <si>
    <t>REQ-744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</si>
</sst>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1F1F1F"/>
      <name val="Courier New"/>
      <family val="3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6" fillId="0" borderId="0" xfId="0" applyFont="1"/>
    <xf numFmtId="0" fontId="4" fillId="0" borderId="1" xfId="0" applyFont="1" applyBorder="1" applyAlignment="1">
      <alignment vertical="center" wrapText="1"/>
    </xf>
    <xf numFmtId="49" fontId="0" fillId="0" borderId="0" xfId="0" applyNumberFormat="1"/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"/>
  <sheetViews>
    <sheetView tabSelected="1" topLeftCell="T1" workbookViewId="0">
      <selection activeCell="V9" sqref="V9"/>
    </sheetView>
  </sheetViews>
  <sheetFormatPr defaultColWidth="8.88671875" defaultRowHeight="14.4" x14ac:dyDescent="0.25"/>
  <cols>
    <col min="1" max="1" customWidth="true" width="8.5546875"/>
    <col min="2" max="2" customWidth="true" width="20.6640625"/>
    <col min="3" max="4" customWidth="true" width="24.33203125"/>
    <col min="5" max="5" customWidth="true" width="27.33203125"/>
    <col min="6" max="6" customWidth="true" width="16.77734375"/>
    <col min="7" max="7" customWidth="true" width="15.33203125"/>
    <col min="8" max="8" customWidth="true" width="21.77734375"/>
    <col min="9" max="9" customWidth="true" width="18.6640625"/>
    <col min="10" max="10" customWidth="true" width="23.77734375"/>
    <col min="11" max="11" customWidth="true" width="17.21875"/>
    <col min="12" max="12" customWidth="true" width="19.88671875"/>
    <col min="13" max="13" customWidth="true" width="20.6640625"/>
    <col min="14" max="14" customWidth="true" width="17.5546875"/>
    <col min="15" max="15" customWidth="true" width="14.6640625"/>
    <col min="16" max="16" customWidth="true" width="19.33203125"/>
    <col min="17" max="17" customWidth="true" width="18.44140625"/>
    <col min="18" max="22" customWidth="true" width="19.109375"/>
    <col min="23" max="23" customWidth="true" width="25.6640625"/>
    <col min="24" max="24" customWidth="true" style="9" width="27.109375"/>
    <col min="25" max="25" customWidth="true" width="25.33203125"/>
    <col min="26" max="26" customWidth="true" width="19.5546875"/>
    <col min="27" max="27" customWidth="true" width="14.5546875"/>
    <col min="28" max="28" bestFit="true" customWidth="true" style="9" width="17.21875"/>
    <col min="29" max="29" customWidth="true" style="9" width="15.109375"/>
  </cols>
  <sheetData>
    <row r="1" spans="1:30" s="1" customFormat="1" ht="28.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34</v>
      </c>
      <c r="X1" s="3" t="s">
        <v>38</v>
      </c>
      <c r="Y1" s="3" t="s">
        <v>40</v>
      </c>
      <c r="Z1" s="3" t="s">
        <v>42</v>
      </c>
      <c r="AA1" s="3" t="s">
        <v>43</v>
      </c>
      <c r="AB1" s="3" t="s">
        <v>62</v>
      </c>
      <c r="AC1" s="3" t="s">
        <v>64</v>
      </c>
      <c r="AD1" s="14"/>
    </row>
    <row r="2" spans="1:30" s="2" customFormat="1" ht="43.2" x14ac:dyDescent="0.25">
      <c r="A2" s="4" t="s">
        <v>22</v>
      </c>
      <c r="B2" s="4" t="s">
        <v>23</v>
      </c>
      <c r="C2" s="4" t="s">
        <v>86</v>
      </c>
      <c r="D2" s="5" t="n">
        <f>C2+1</f>
        <v>12309.0</v>
      </c>
      <c r="E2" s="5" t="n">
        <f>C2+1</f>
        <v>12309.0</v>
      </c>
      <c r="F2" s="8" t="s">
        <v>32</v>
      </c>
      <c r="G2" s="11">
        <v>600</v>
      </c>
      <c r="H2" s="4" t="s">
        <v>33</v>
      </c>
      <c r="I2" s="4" t="s">
        <v>24</v>
      </c>
      <c r="J2" s="11" t="s">
        <v>56</v>
      </c>
      <c r="K2" s="4" t="s">
        <v>24</v>
      </c>
      <c r="L2" s="4" t="s">
        <v>24</v>
      </c>
      <c r="M2" s="4" t="s">
        <v>24</v>
      </c>
      <c r="N2" s="4" t="s">
        <v>24</v>
      </c>
      <c r="O2" s="4" t="s">
        <v>24</v>
      </c>
      <c r="P2" s="4" t="s">
        <v>24</v>
      </c>
      <c r="Q2" s="4" t="s">
        <v>24</v>
      </c>
      <c r="R2" s="4" t="s">
        <v>24</v>
      </c>
      <c r="S2" s="4" t="s">
        <v>87</v>
      </c>
      <c r="T2" s="4" t="s">
        <v>87</v>
      </c>
      <c r="U2" s="4" t="s">
        <v>37</v>
      </c>
      <c r="V2" s="6" t="str">
        <f>TEXT(E2,"#,##0")&amp;" km"</f>
        <v>12,309 km</v>
      </c>
      <c r="W2" s="4" t="s">
        <v>33</v>
      </c>
      <c r="X2" s="4"/>
      <c r="Y2" s="4"/>
      <c r="Z2" s="4"/>
      <c r="AA2" s="4"/>
      <c r="AB2" s="4"/>
      <c r="AC2" s="4"/>
    </row>
    <row r="3" spans="1:30" s="2" customFormat="1" ht="43.2" x14ac:dyDescent="0.25">
      <c r="A3" s="4" t="s">
        <v>25</v>
      </c>
      <c r="B3" s="4" t="s">
        <v>23</v>
      </c>
      <c r="C3" s="4" t="s">
        <v>26</v>
      </c>
      <c r="D3" s="4"/>
      <c r="E3" s="4" t="s">
        <v>27</v>
      </c>
      <c r="F3" s="8" t="s">
        <v>32</v>
      </c>
      <c r="G3" s="11">
        <v>600</v>
      </c>
      <c r="H3" s="4" t="s">
        <v>33</v>
      </c>
      <c r="I3" s="4" t="s">
        <v>24</v>
      </c>
      <c r="J3" s="11" t="s">
        <v>56</v>
      </c>
      <c r="K3" s="4" t="s">
        <v>24</v>
      </c>
      <c r="L3" s="4" t="s">
        <v>24</v>
      </c>
      <c r="M3" s="4" t="s">
        <v>24</v>
      </c>
      <c r="N3" s="4" t="s">
        <v>24</v>
      </c>
      <c r="O3" s="4" t="s">
        <v>24</v>
      </c>
      <c r="P3" s="4" t="s">
        <v>24</v>
      </c>
      <c r="Q3" s="4" t="s">
        <v>24</v>
      </c>
      <c r="R3" s="4" t="s">
        <v>24</v>
      </c>
      <c r="S3" s="4" t="s">
        <v>28</v>
      </c>
      <c r="T3" s="4" t="s">
        <v>29</v>
      </c>
      <c r="U3" s="4" t="s">
        <v>30</v>
      </c>
      <c r="V3" s="4" t="s">
        <v>31</v>
      </c>
      <c r="W3" s="4" t="s">
        <v>33</v>
      </c>
      <c r="X3" s="4" t="s">
        <v>39</v>
      </c>
      <c r="Y3" s="4" t="s">
        <v>41</v>
      </c>
      <c r="Z3" s="4" t="s">
        <v>41</v>
      </c>
      <c r="AA3" s="4" t="s">
        <v>44</v>
      </c>
      <c r="AB3" s="4"/>
      <c r="AC3" s="4"/>
    </row>
    <row r="4" spans="1:30" s="2" customFormat="1" ht="28.8" x14ac:dyDescent="0.25">
      <c r="A4" s="4" t="s">
        <v>45</v>
      </c>
      <c r="B4" s="4" t="s">
        <v>23</v>
      </c>
      <c r="C4" s="4" t="s">
        <v>57</v>
      </c>
      <c r="D4" s="5" t="n">
        <f>C4+1</f>
        <v>12304.0</v>
      </c>
      <c r="E4" s="5" t="n">
        <f>C4+1</f>
        <v>12304.0</v>
      </c>
      <c r="F4" s="10" t="s">
        <v>55</v>
      </c>
      <c r="G4" s="11">
        <v>500</v>
      </c>
      <c r="H4" s="4" t="s">
        <v>33</v>
      </c>
      <c r="I4" s="4" t="s">
        <v>24</v>
      </c>
      <c r="J4" s="4" t="s">
        <v>24</v>
      </c>
      <c r="K4" s="4">
        <v>1</v>
      </c>
      <c r="L4" s="4" t="s">
        <v>24</v>
      </c>
      <c r="M4" s="4" t="s">
        <v>24</v>
      </c>
      <c r="N4" s="4" t="s">
        <v>24</v>
      </c>
      <c r="O4" s="4" t="s">
        <v>24</v>
      </c>
      <c r="P4" s="4" t="s">
        <v>24</v>
      </c>
      <c r="Q4" s="4" t="s">
        <v>24</v>
      </c>
      <c r="R4" s="4" t="s">
        <v>24</v>
      </c>
      <c r="S4" s="4" t="s">
        <v>36</v>
      </c>
      <c r="T4" s="4" t="s">
        <v>36</v>
      </c>
      <c r="U4" s="4" t="s">
        <v>37</v>
      </c>
      <c r="V4" s="6" t="str">
        <f>TEXT(E4,"#,##0")&amp;" km"</f>
        <v>12,304 km</v>
      </c>
      <c r="W4" s="4" t="s">
        <v>33</v>
      </c>
      <c r="X4" s="4"/>
      <c r="Y4" s="4"/>
      <c r="Z4" s="4"/>
      <c r="AA4" s="4"/>
      <c r="AB4" s="4"/>
      <c r="AC4" s="4"/>
    </row>
    <row r="5" spans="1:30" s="2" customFormat="1" ht="28.8" x14ac:dyDescent="0.25">
      <c r="A5" s="4" t="s">
        <v>46</v>
      </c>
      <c r="B5" s="4" t="s">
        <v>23</v>
      </c>
      <c r="C5" s="4" t="s">
        <v>51</v>
      </c>
      <c r="D5" s="4"/>
      <c r="E5" s="4" t="s">
        <v>52</v>
      </c>
      <c r="F5" s="10" t="s">
        <v>55</v>
      </c>
      <c r="G5" s="15" t="s">
        <v>66</v>
      </c>
      <c r="H5" s="4" t="s">
        <v>33</v>
      </c>
      <c r="I5" s="4" t="s">
        <v>24</v>
      </c>
      <c r="J5" s="4" t="s">
        <v>24</v>
      </c>
      <c r="K5" s="4">
        <v>1</v>
      </c>
      <c r="L5" s="4" t="s">
        <v>24</v>
      </c>
      <c r="M5" s="4" t="s">
        <v>24</v>
      </c>
      <c r="N5" s="4" t="s">
        <v>24</v>
      </c>
      <c r="O5" s="4" t="s">
        <v>24</v>
      </c>
      <c r="P5" s="4" t="s">
        <v>24</v>
      </c>
      <c r="Q5" s="4" t="s">
        <v>24</v>
      </c>
      <c r="R5" s="4" t="s">
        <v>24</v>
      </c>
      <c r="S5" s="4" t="s">
        <v>53</v>
      </c>
      <c r="T5" s="4" t="s">
        <v>54</v>
      </c>
      <c r="U5" s="4" t="s">
        <v>58</v>
      </c>
      <c r="V5" s="13" t="s">
        <v>65</v>
      </c>
      <c r="W5" s="4" t="s">
        <v>33</v>
      </c>
      <c r="X5" s="4" t="s">
        <v>59</v>
      </c>
      <c r="Y5" s="4" t="s">
        <v>60</v>
      </c>
      <c r="Z5" s="12" t="s">
        <v>60</v>
      </c>
      <c r="AA5" s="4" t="s">
        <v>44</v>
      </c>
      <c r="AB5" s="4" t="s">
        <v>61</v>
      </c>
      <c r="AC5" s="4" t="s">
        <v>63</v>
      </c>
    </row>
    <row r="6" spans="1:30" s="2" customFormat="1" ht="28.8" x14ac:dyDescent="0.25">
      <c r="A6" s="4" t="s">
        <v>47</v>
      </c>
      <c r="B6" s="4" t="s">
        <v>23</v>
      </c>
      <c r="C6" s="4" t="s">
        <v>35</v>
      </c>
      <c r="D6" s="5" t="n">
        <f>C6+1</f>
        <v>12302.0</v>
      </c>
      <c r="E6" s="5" t="n">
        <f>C6+1</f>
        <v>12302.0</v>
      </c>
      <c r="F6" s="11" t="s">
        <v>67</v>
      </c>
      <c r="G6" s="11">
        <v>1000</v>
      </c>
      <c r="H6" s="4" t="s">
        <v>33</v>
      </c>
      <c r="I6" s="4" t="s">
        <v>24</v>
      </c>
      <c r="J6" s="4" t="s">
        <v>24</v>
      </c>
      <c r="K6" s="4" t="s">
        <v>24</v>
      </c>
      <c r="L6" s="4" t="s">
        <v>24</v>
      </c>
      <c r="M6" s="4" t="s">
        <v>24</v>
      </c>
      <c r="N6" s="4" t="s">
        <v>24</v>
      </c>
      <c r="O6" s="4" t="s">
        <v>24</v>
      </c>
      <c r="P6" s="4" t="s">
        <v>24</v>
      </c>
      <c r="Q6" s="4" t="s">
        <v>24</v>
      </c>
      <c r="R6" s="4" t="s">
        <v>24</v>
      </c>
      <c r="S6" s="4" t="s">
        <v>36</v>
      </c>
      <c r="T6" s="4" t="s">
        <v>36</v>
      </c>
      <c r="U6" s="4" t="s">
        <v>37</v>
      </c>
      <c r="V6" s="6" t="str">
        <f>TEXT(E6,"#,##0")&amp;" km"</f>
        <v>12,302 km</v>
      </c>
      <c r="W6" s="4" t="s">
        <v>33</v>
      </c>
      <c r="X6" s="4"/>
      <c r="Y6" s="4"/>
      <c r="Z6" s="4"/>
      <c r="AA6" s="4"/>
      <c r="AB6" s="4"/>
      <c r="AC6" s="4"/>
    </row>
    <row r="7" spans="1:30" s="2" customFormat="1" ht="28.8" x14ac:dyDescent="0.25">
      <c r="A7" s="4" t="s">
        <v>48</v>
      </c>
      <c r="B7" s="4" t="s">
        <v>23</v>
      </c>
      <c r="C7" s="4" t="s">
        <v>73</v>
      </c>
      <c r="D7" s="4"/>
      <c r="E7" s="4" t="s">
        <v>75</v>
      </c>
      <c r="F7" s="11" t="s">
        <v>67</v>
      </c>
      <c r="G7" s="11">
        <v>1000</v>
      </c>
      <c r="H7" s="4" t="s">
        <v>33</v>
      </c>
      <c r="I7" s="4" t="s">
        <v>24</v>
      </c>
      <c r="J7" s="4" t="s">
        <v>24</v>
      </c>
      <c r="K7" s="4" t="s">
        <v>24</v>
      </c>
      <c r="L7" s="4" t="s">
        <v>24</v>
      </c>
      <c r="M7" s="4" t="s">
        <v>24</v>
      </c>
      <c r="N7" s="4" t="s">
        <v>24</v>
      </c>
      <c r="O7" s="4" t="s">
        <v>24</v>
      </c>
      <c r="P7" s="4" t="s">
        <v>24</v>
      </c>
      <c r="Q7" s="4" t="s">
        <v>24</v>
      </c>
      <c r="R7" s="4" t="s">
        <v>24</v>
      </c>
      <c r="S7" s="4" t="s">
        <v>77</v>
      </c>
      <c r="T7" s="4" t="s">
        <v>78</v>
      </c>
      <c r="U7" s="4" t="s">
        <v>79</v>
      </c>
      <c r="V7" s="4" t="s">
        <v>80</v>
      </c>
      <c r="W7" s="4" t="s">
        <v>33</v>
      </c>
      <c r="X7" s="4" t="s">
        <v>39</v>
      </c>
      <c r="Y7" s="4" t="s">
        <v>41</v>
      </c>
      <c r="Z7" s="4" t="s">
        <v>41</v>
      </c>
      <c r="AA7" s="4" t="s">
        <v>44</v>
      </c>
      <c r="AB7" s="4"/>
      <c r="AC7" s="4"/>
    </row>
    <row r="8" spans="1:30" s="2" customFormat="1" ht="28.8" x14ac:dyDescent="0.25">
      <c r="A8" s="4" t="s">
        <v>49</v>
      </c>
      <c r="B8" s="4" t="s">
        <v>23</v>
      </c>
      <c r="C8" s="4" t="s">
        <v>88</v>
      </c>
      <c r="D8" s="5" t="n">
        <f>C8+1</f>
        <v>12323.0</v>
      </c>
      <c r="E8" s="5" t="n">
        <f>C8+1</f>
        <v>12323.0</v>
      </c>
      <c r="F8" s="16" t="s">
        <v>68</v>
      </c>
      <c r="G8" s="4">
        <v>200</v>
      </c>
      <c r="H8" s="4" t="s">
        <v>33</v>
      </c>
      <c r="I8" s="4" t="s">
        <v>24</v>
      </c>
      <c r="J8" s="4" t="s">
        <v>24</v>
      </c>
      <c r="K8" s="4" t="s">
        <v>24</v>
      </c>
      <c r="L8" s="4" t="s">
        <v>24</v>
      </c>
      <c r="M8" s="4" t="s">
        <v>24</v>
      </c>
      <c r="N8" s="4" t="s">
        <v>24</v>
      </c>
      <c r="O8" s="4" t="s">
        <v>24</v>
      </c>
      <c r="P8" s="4" t="s">
        <v>24</v>
      </c>
      <c r="Q8" s="4" t="s">
        <v>24</v>
      </c>
      <c r="R8" s="4" t="s">
        <v>24</v>
      </c>
      <c r="S8" s="4" t="s">
        <v>89</v>
      </c>
      <c r="T8" s="4" t="s">
        <v>89</v>
      </c>
      <c r="U8" s="4" t="s">
        <v>90</v>
      </c>
      <c r="V8" s="6" t="s">
        <v>69</v>
      </c>
      <c r="W8" s="4" t="s">
        <v>33</v>
      </c>
      <c r="X8" s="4"/>
      <c r="Y8" s="4" t="s">
        <v>41</v>
      </c>
      <c r="Z8" s="4" t="s">
        <v>41</v>
      </c>
      <c r="AA8" s="4"/>
      <c r="AB8" s="4"/>
      <c r="AC8" s="4"/>
    </row>
    <row r="9" spans="1:30" s="2" customFormat="1" ht="28.8" x14ac:dyDescent="0.25">
      <c r="A9" s="4" t="s">
        <v>50</v>
      </c>
      <c r="B9" s="4" t="s">
        <v>23</v>
      </c>
      <c r="C9" s="4" t="s">
        <v>74</v>
      </c>
      <c r="D9" s="4"/>
      <c r="E9" s="4" t="s">
        <v>76</v>
      </c>
      <c r="F9" s="16" t="s">
        <v>68</v>
      </c>
      <c r="G9" s="4" t="s">
        <v>70</v>
      </c>
      <c r="H9" s="4" t="s">
        <v>33</v>
      </c>
      <c r="I9" s="4" t="s">
        <v>24</v>
      </c>
      <c r="J9" s="4" t="s">
        <v>24</v>
      </c>
      <c r="K9" s="4" t="s">
        <v>24</v>
      </c>
      <c r="L9" s="4" t="s">
        <v>24</v>
      </c>
      <c r="M9" s="4" t="s">
        <v>24</v>
      </c>
      <c r="N9" s="4" t="s">
        <v>24</v>
      </c>
      <c r="O9" s="4" t="s">
        <v>24</v>
      </c>
      <c r="P9" s="4" t="s">
        <v>24</v>
      </c>
      <c r="Q9" s="4" t="s">
        <v>24</v>
      </c>
      <c r="R9" s="4" t="s">
        <v>24</v>
      </c>
      <c r="S9" s="4" t="s">
        <v>81</v>
      </c>
      <c r="T9" s="4" t="s">
        <v>82</v>
      </c>
      <c r="U9" s="4" t="s">
        <v>83</v>
      </c>
      <c r="V9" s="4" t="s">
        <v>84</v>
      </c>
      <c r="W9" s="4" t="s">
        <v>33</v>
      </c>
      <c r="X9" s="4" t="s">
        <v>39</v>
      </c>
      <c r="Y9" s="4" t="s">
        <v>41</v>
      </c>
      <c r="Z9" s="4" t="s">
        <v>41</v>
      </c>
      <c r="AA9" s="4" t="s">
        <v>44</v>
      </c>
      <c r="AB9" s="4"/>
      <c r="AC9" s="4"/>
    </row>
    <row r="10" spans="1:30" x14ac:dyDescent="0.25">
      <c r="U10" s="7"/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2026-05-05T03:38:33Z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