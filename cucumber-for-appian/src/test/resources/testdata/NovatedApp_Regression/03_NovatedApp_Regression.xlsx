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tabRatio="873"/>
  </bookViews>
  <sheets>
    <sheet name="TestData" sheetId="14" r:id="rId1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<sst xmlns="http://schemas.openxmlformats.org/spreadsheetml/2006/main" count="703" uniqueCount="227">
  <si>
    <t>TC ID</t>
  </si>
  <si>
    <t>Request Type</t>
  </si>
  <si>
    <t>Last Odometer Reading</t>
  </si>
  <si>
    <t>Updated Odometer Reading</t>
  </si>
  <si>
    <t>New Odometer</t>
  </si>
  <si>
    <t>Claim Type</t>
  </si>
  <si>
    <t>Amount ($)</t>
  </si>
  <si>
    <t>Proof of Payment</t>
  </si>
  <si>
    <t>Scheduled Service</t>
  </si>
  <si>
    <t>Maintenance Activity Completed</t>
  </si>
  <si>
    <t>Tyre Quantity</t>
  </si>
  <si>
    <t>Policy Start Date</t>
  </si>
  <si>
    <t>New Registration Expiry Date</t>
  </si>
  <si>
    <t>Insurance Company</t>
  </si>
  <si>
    <t>Insurance Expiry Date</t>
  </si>
  <si>
    <t>Insurance Company Name</t>
  </si>
  <si>
    <t>Claim Description</t>
  </si>
  <si>
    <t>Replace Fuel Card</t>
  </si>
  <si>
    <t>Reading Date</t>
  </si>
  <si>
    <t>Last Reading Date</t>
  </si>
  <si>
    <t>Reference Number</t>
  </si>
  <si>
    <t>Odometer</t>
  </si>
  <si>
    <t>Tax Invoice</t>
  </si>
  <si>
    <t>End Of Lease Date</t>
  </si>
  <si>
    <t>Submitted By</t>
  </si>
  <si>
    <t>Updated By</t>
  </si>
  <si>
    <t>Assigned To</t>
  </si>
  <si>
    <t>Submitted On</t>
  </si>
  <si>
    <t>Updated On</t>
  </si>
  <si>
    <t>Salutation</t>
  </si>
  <si>
    <t>First Name</t>
  </si>
  <si>
    <t>Last Name</t>
  </si>
  <si>
    <t>Primary Email</t>
  </si>
  <si>
    <t>Mobile</t>
  </si>
  <si>
    <t>Employer</t>
  </si>
  <si>
    <t>State</t>
  </si>
  <si>
    <t>Vehicle Description</t>
  </si>
  <si>
    <t>Registration Number</t>
  </si>
  <si>
    <t>Registration State</t>
  </si>
  <si>
    <t>Status</t>
  </si>
  <si>
    <t>Status1</t>
  </si>
  <si>
    <t>Updated By1</t>
  </si>
  <si>
    <t>Assigned To1</t>
  </si>
  <si>
    <t xml:space="preserve">Copy of CTP Renewal </t>
  </si>
  <si>
    <t>Driver Salutation</t>
  </si>
  <si>
    <t>Driver First Name</t>
  </si>
  <si>
    <t>Driver Last Name</t>
  </si>
  <si>
    <t>Driver Name</t>
  </si>
  <si>
    <t>Driver Date of Birth</t>
  </si>
  <si>
    <t>Driver Mobile Phone</t>
  </si>
  <si>
    <t>Driver Email</t>
  </si>
  <si>
    <t>Driver Your Residential Address</t>
  </si>
  <si>
    <t>Driver Employer Name</t>
  </si>
  <si>
    <t>Vehicle</t>
  </si>
  <si>
    <t>Vehicle number</t>
  </si>
  <si>
    <t>Vehicle name</t>
  </si>
  <si>
    <t>Lease End Date</t>
  </si>
  <si>
    <t>TC001</t>
  </si>
  <si>
    <t>Reimbursement Claim</t>
  </si>
  <si>
    <t>8026</t>
  </si>
  <si>
    <t>Comprehensive Insurance</t>
  </si>
  <si>
    <t>$1,000.00</t>
  </si>
  <si>
    <t>C:\Automation\Test cases Novated App\Filestoupload\Invoice.pdf</t>
  </si>
  <si>
    <t>N/A</t>
  </si>
  <si>
    <t>Vehicle General maintenance has been completed</t>
  </si>
  <si>
    <t>27 Jul 2026</t>
  </si>
  <si>
    <t>REQ-122</t>
  </si>
  <si>
    <t>C:\Automation\Test cases Novated App\Filestoupload\TaxInvoice.pdf</t>
  </si>
  <si>
    <t>Toshihiko Inafune</t>
  </si>
  <si>
    <t>Other</t>
  </si>
  <si>
    <t>01/02/2026</t>
  </si>
  <si>
    <t>29/07/2026</t>
  </si>
  <si>
    <t>01/06/2026</t>
  </si>
  <si>
    <t>The new australia insurance</t>
  </si>
  <si>
    <t>C:\Automation\Test cases Novated App\Filestoupload\CTP Renewal.pdf</t>
  </si>
  <si>
    <t>Mr</t>
  </si>
  <si>
    <t>Neeti</t>
  </si>
  <si>
    <t>Tripathi</t>
  </si>
  <si>
    <t>03 Jul 1993</t>
  </si>
  <si>
    <t>0499656877</t>
  </si>
  <si>
    <t>neeti.tripathi@kmart.com.au.test</t>
  </si>
  <si>
    <t>Your Residential Address *</t>
  </si>
  <si>
    <t>Kmart Australia Limited</t>
  </si>
  <si>
    <t>CYP806</t>
  </si>
  <si>
    <t>TESLA MODEL Y</t>
  </si>
  <si>
    <t>11 Jun 2027</t>
  </si>
  <si>
    <t>TC002</t>
  </si>
  <si>
    <t>${TC001.Last Odometer Reading}</t>
  </si>
  <si>
    <t>${TC001.New Odometer}</t>
  </si>
  <si>
    <t>${TC001.Reading Date}</t>
  </si>
  <si>
    <t>${TC001.Last Reading Date}</t>
  </si>
  <si>
    <t>${TC001.Reference Number}</t>
  </si>
  <si>
    <t>${TC001.Odometer}</t>
  </si>
  <si>
    <t>30/08/2029 10:00 GMT+10:00</t>
  </si>
  <si>
    <t>Unassigned</t>
  </si>
  <si>
    <t>Toshihiko</t>
  </si>
  <si>
    <t>Inafune</t>
  </si>
  <si>
    <t>inafune@jfcaust.com.au.test</t>
  </si>
  <si>
    <t>0469750861</t>
  </si>
  <si>
    <t>Test Employer</t>
  </si>
  <si>
    <t>NSW</t>
  </si>
  <si>
    <t>MAZDA CX-5</t>
  </si>
  <si>
    <t>FTV21M</t>
  </si>
  <si>
    <t>New</t>
  </si>
  <si>
    <t>In Progress</t>
  </si>
  <si>
    <t>Auto Lease</t>
  </si>
  <si>
    <t>${TC001.Driver Salutation}</t>
  </si>
  <si>
    <t>${TC001.Driver First Name}</t>
  </si>
  <si>
    <t>${TC001.Driver Last Name}</t>
  </si>
  <si>
    <t>${TC001.Driver Name}</t>
  </si>
  <si>
    <t>${TC001.Driver Date of Birth}</t>
  </si>
  <si>
    <t>${TC001.Driver Mobile Phone}</t>
  </si>
  <si>
    <t>${TC001.Driver Email}</t>
  </si>
  <si>
    <t>${TC001.Driver Your Residential Address}</t>
  </si>
  <si>
    <t>${TC001.Driver Employer Name}</t>
  </si>
  <si>
    <t>${TC001.Vehicle}</t>
  </si>
  <si>
    <t>${TC001.Vehicle number}</t>
  </si>
  <si>
    <t>${TC001.Vehicle name}</t>
  </si>
  <si>
    <t>${TC001.Lease End Date}</t>
  </si>
  <si>
    <t>TC003</t>
  </si>
  <si>
    <t>8027</t>
  </si>
  <si>
    <t>CTP</t>
  </si>
  <si>
    <t>$500.00</t>
  </si>
  <si>
    <t>REQ-834</t>
  </si>
  <si>
    <t>TC004</t>
  </si>
  <si>
    <t>${TC003.Last Odometer Reading}</t>
  </si>
  <si>
    <t>${TC003.New Odometer}</t>
  </si>
  <si>
    <t>${TC003.Reading Date}</t>
  </si>
  <si>
    <t>${TC003.Last Reading Date}</t>
  </si>
  <si>
    <t>${TC003.Reference Number}</t>
  </si>
  <si>
    <t>${TC003.Odometer}</t>
  </si>
  <si>
    <t>22 Apr 2026 04:33 AM</t>
  </si>
  <si>
    <t>22 Apr 2026 04:34 AM</t>
  </si>
  <si>
    <t>${TC003.Driver Salutation}</t>
  </si>
  <si>
    <t>${TC003.Driver First Name}</t>
  </si>
  <si>
    <t>${TC003.Driver Last Name}</t>
  </si>
  <si>
    <t>${TC003.Driver Name}</t>
  </si>
  <si>
    <t>${TC003.Driver Date of Birth}</t>
  </si>
  <si>
    <t>${TC003.Driver Mobile Phone}</t>
  </si>
  <si>
    <t>${TC003.Driver Email}</t>
  </si>
  <si>
    <t>${TC003.Driver Your Residential Address}</t>
  </si>
  <si>
    <t>${TC003.Driver Employer Name}</t>
  </si>
  <si>
    <t>${TC003.Vehicle}</t>
  </si>
  <si>
    <t>${TC003.Vehicle number}</t>
  </si>
  <si>
    <t>${TC003.Vehicle name}</t>
  </si>
  <si>
    <t>${TC003.Lease End Date}</t>
  </si>
  <si>
    <t>TC005</t>
  </si>
  <si>
    <t>Battery</t>
  </si>
  <si>
    <t>$2,000.00</t>
  </si>
  <si>
    <t>REQ-123</t>
  </si>
  <si>
    <t>Insurance Australia Group (IAG)</t>
  </si>
  <si>
    <t>Claim type other has been raised due to some spare damage.</t>
  </si>
  <si>
    <t>TC006</t>
  </si>
  <si>
    <t>${TC005.Last Odometer Reading}</t>
  </si>
  <si>
    <t>${TC005.New Odometer}</t>
  </si>
  <si>
    <t>${TC005.Reading Date}</t>
  </si>
  <si>
    <t>${TC005.Last Reading Date}</t>
  </si>
  <si>
    <t>${TC005.Reference Number}</t>
  </si>
  <si>
    <t>${TC005.Odometer}</t>
  </si>
  <si>
    <t>${TC005.Driver Salutation}</t>
  </si>
  <si>
    <t>${TC005.Driver First Name}</t>
  </si>
  <si>
    <t>${TC005.Driver Last Name}</t>
  </si>
  <si>
    <t>${TC005.Driver Name}</t>
  </si>
  <si>
    <t>${TC005.Driver Date of Birth}</t>
  </si>
  <si>
    <t>${TC005.Driver Mobile Phone}</t>
  </si>
  <si>
    <t>${TC005.Driver Email}</t>
  </si>
  <si>
    <t>${TC005.Driver Your Residential Address}</t>
  </si>
  <si>
    <t>${TC005.Driver Employer Name}</t>
  </si>
  <si>
    <t>${TC005.Vehicle}</t>
  </si>
  <si>
    <t>${TC005.Vehicle number}</t>
  </si>
  <si>
    <t>${TC005.Vehicle name}</t>
  </si>
  <si>
    <t>${TC005.Lease End Date}</t>
  </si>
  <si>
    <t>TC007</t>
  </si>
  <si>
    <t>8028</t>
  </si>
  <si>
    <t>Windscreen Repair</t>
  </si>
  <si>
    <t>REQ-124</t>
  </si>
  <si>
    <t>TC008</t>
  </si>
  <si>
    <t>${TC007.Last Odometer Reading}</t>
  </si>
  <si>
    <t>${TC007.New Odometer}</t>
  </si>
  <si>
    <t>${TC007.Reading Date}</t>
  </si>
  <si>
    <t>${TC007.Last Reading Date}</t>
  </si>
  <si>
    <t>${TC007.Reference Number}</t>
  </si>
  <si>
    <t>${TC007.Odometer}</t>
  </si>
  <si>
    <t>${TC007.Driver Salutation}</t>
  </si>
  <si>
    <t>${TC007.Driver First Name}</t>
  </si>
  <si>
    <t>${TC007.Driver Last Name}</t>
  </si>
  <si>
    <t>${TC007.Driver Name}</t>
  </si>
  <si>
    <t>${TC007.Driver Date of Birth}</t>
  </si>
  <si>
    <t>${TC007.Driver Mobile Phone}</t>
  </si>
  <si>
    <t>${TC007.Driver Email}</t>
  </si>
  <si>
    <t>${TC007.Driver Your Residential Address}</t>
  </si>
  <si>
    <t>${TC007.Driver Employer Name}</t>
  </si>
  <si>
    <t>${TC007.Vehicle}</t>
  </si>
  <si>
    <t>${TC007.Vehicle number}</t>
  </si>
  <si>
    <t>${TC007.Vehicle name}</t>
  </si>
  <si>
    <t>${TC007.Lease End Date}</t>
  </si>
  <si>
    <t>8029</t>
  </si>
  <si>
    <t>REQ-125</t>
  </si>
  <si>
    <t>8030</t>
  </si>
  <si>
    <t>REQ-126</t>
  </si>
  <si>
    <t>8031</t>
  </si>
  <si>
    <t>REQ-127</t>
  </si>
  <si>
    <t>8032</t>
  </si>
  <si>
    <t>REQ-128</t>
  </si>
  <si>
    <t>8033</t>
  </si>
  <si>
    <t>REQ-129</t>
  </si>
  <si>
    <t>8034</t>
  </si>
  <si>
    <t>REQ-130</t>
  </si>
  <si>
    <t>8035</t>
  </si>
  <si>
    <t>REQ-131</t>
  </si>
  <si>
    <t>8036</t>
  </si>
  <si>
    <t>REQ-132</t>
  </si>
  <si>
    <t>8037</t>
  </si>
  <si>
    <t>REQ-133</t>
  </si>
  <si>
    <t>8038</t>
  </si>
  <si>
    <t>REQ-134</t>
  </si>
  <si>
    <t>8039</t>
  </si>
  <si>
    <t>REQ-135</t>
  </si>
  <si>
    <t>8054</t>
  </si>
  <si>
    <t>28 Jul 2026</t>
  </si>
  <si>
    <t>REQ-150</t>
  </si>
  <si>
    <t>8055</t>
  </si>
  <si>
    <t>REQ-151</t>
  </si>
  <si>
    <t>8056</t>
  </si>
  <si>
    <t>REQ-152</t>
  </si>
  <si>
    <t>8057</t>
  </si>
  <si>
    <t>REQ-153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</si>
</sst>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_);[Red]\(0.00\)"/>
  </numFmts>
  <fonts count="22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49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80" fontId="0" fillId="0" borderId="1" xfId="0" applyNumberFormat="1" applyBorder="1" applyAlignment="1">
      <alignment vertical="center" wrapText="1"/>
    </xf>
    <xf numFmtId="49" fontId="0" fillId="0" borderId="1" xfId="0" applyNumberFormat="1" applyBorder="1" applyAlignment="1">
      <alignment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180" fontId="0" fillId="0" borderId="1" xfId="0" applyNumberFormat="1" applyFont="1" applyFill="1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L9"/>
  <sheetViews>
    <sheetView tabSelected="1" topLeftCell="AS6" workbookViewId="0">
      <selection activeCell="AY2" sqref="AY2:AY9"/>
    </sheetView>
  </sheetViews>
  <sheetFormatPr defaultColWidth="8.875" defaultRowHeight="13.8"/>
  <cols>
    <col min="1" max="1" customWidth="true" width="8.5"/>
    <col min="2" max="2" customWidth="true" width="20.625"/>
    <col min="3" max="4" customWidth="true" width="24.375"/>
    <col min="5" max="5" customWidth="true" width="27.375"/>
    <col min="6" max="6" customWidth="true" width="16.75"/>
    <col min="7" max="7" customWidth="true" width="15.375"/>
    <col min="8" max="8" customWidth="true" width="21.75"/>
    <col min="9" max="9" customWidth="true" width="18.625"/>
    <col min="10" max="10" customWidth="true" width="23.75"/>
    <col min="11" max="11" customWidth="true" width="17.25"/>
    <col min="12" max="12" customWidth="true" width="19.875"/>
    <col min="13" max="13" customWidth="true" width="20.625"/>
    <col min="14" max="14" customWidth="true" width="17.5"/>
    <col min="15" max="15" customWidth="true" width="14.625"/>
    <col min="16" max="16" customWidth="true" width="19.375"/>
    <col min="17" max="17" customWidth="true" width="18.5"/>
    <col min="18" max="22" customWidth="true" width="19.125"/>
    <col min="23" max="23" customWidth="true" width="25.625"/>
    <col min="24" max="24" customWidth="true" style="3" width="27.125"/>
    <col min="25" max="25" customWidth="true" width="25.375"/>
    <col min="26" max="26" customWidth="true" width="19.5"/>
    <col min="27" max="27" customWidth="true" width="14.5"/>
    <col min="28" max="28" customWidth="true" style="3" width="17.25"/>
    <col min="29" max="29" customWidth="true" style="3" width="15.125"/>
  </cols>
  <sheetData>
    <row r="1" s="1" customFormat="1" ht="69" spans="1:6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5" t="s">
        <v>33</v>
      </c>
      <c r="AI1" s="4" t="s">
        <v>34</v>
      </c>
      <c r="AJ1" s="5" t="s">
        <v>35</v>
      </c>
      <c r="AK1" s="4" t="s">
        <v>36</v>
      </c>
      <c r="AL1" s="5" t="s">
        <v>37</v>
      </c>
      <c r="AM1" s="4" t="s">
        <v>38</v>
      </c>
      <c r="AN1" s="5" t="s">
        <v>39</v>
      </c>
      <c r="AO1" s="5" t="s">
        <v>40</v>
      </c>
      <c r="AP1" s="4" t="s">
        <v>25</v>
      </c>
      <c r="AQ1" s="4" t="s">
        <v>41</v>
      </c>
      <c r="AR1" s="5" t="s">
        <v>26</v>
      </c>
      <c r="AS1" s="5" t="s">
        <v>42</v>
      </c>
      <c r="AT1" s="5" t="s">
        <v>13</v>
      </c>
      <c r="AU1" s="5" t="s">
        <v>11</v>
      </c>
      <c r="AV1" s="5" t="s">
        <v>14</v>
      </c>
      <c r="AW1" s="5" t="s">
        <v>12</v>
      </c>
      <c r="AX1" s="5" t="s">
        <v>16</v>
      </c>
      <c r="AY1" s="5" t="s">
        <v>43</v>
      </c>
      <c r="AZ1" s="4" t="s">
        <v>44</v>
      </c>
      <c r="BA1" s="4" t="s">
        <v>45</v>
      </c>
      <c r="BB1" s="4" t="s">
        <v>46</v>
      </c>
      <c r="BC1" s="4" t="s">
        <v>47</v>
      </c>
      <c r="BD1" s="4" t="s">
        <v>48</v>
      </c>
      <c r="BE1" s="4" t="s">
        <v>49</v>
      </c>
      <c r="BF1" s="4" t="s">
        <v>50</v>
      </c>
      <c r="BG1" s="4" t="s">
        <v>51</v>
      </c>
      <c r="BH1" s="4" t="s">
        <v>52</v>
      </c>
      <c r="BI1" s="4" t="s">
        <v>53</v>
      </c>
      <c r="BJ1" s="4" t="s">
        <v>54</v>
      </c>
      <c r="BK1" s="4" t="s">
        <v>55</v>
      </c>
      <c r="BL1" s="4" t="s">
        <v>56</v>
      </c>
    </row>
    <row r="2" s="2" customFormat="1" ht="124.2" spans="1:64">
      <c r="A2" s="6" t="s">
        <v>57</v>
      </c>
      <c r="B2" s="6" t="s">
        <v>58</v>
      </c>
      <c r="C2" s="6" t="s">
        <v>218</v>
      </c>
      <c r="D2" s="7" t="n">
        <f>C2+1</f>
        <v>8055.0</v>
      </c>
      <c r="E2" s="7" t="n">
        <f>C2+1</f>
        <v>8055.0</v>
      </c>
      <c r="F2" s="8" t="s">
        <v>60</v>
      </c>
      <c r="G2" s="8" t="s">
        <v>61</v>
      </c>
      <c r="H2" s="6" t="s">
        <v>62</v>
      </c>
      <c r="I2" s="6" t="s">
        <v>63</v>
      </c>
      <c r="J2" s="9" t="s">
        <v>64</v>
      </c>
      <c r="K2" s="6" t="s">
        <v>63</v>
      </c>
      <c r="L2" s="6" t="s">
        <v>63</v>
      </c>
      <c r="M2" s="6" t="s">
        <v>63</v>
      </c>
      <c r="N2" s="6" t="s">
        <v>63</v>
      </c>
      <c r="O2" s="6" t="s">
        <v>63</v>
      </c>
      <c r="P2" s="6" t="s">
        <v>63</v>
      </c>
      <c r="Q2" s="6" t="s">
        <v>63</v>
      </c>
      <c r="R2" s="6" t="s">
        <v>63</v>
      </c>
      <c r="S2" s="6" t="s">
        <v>219</v>
      </c>
      <c r="T2" s="6" t="s">
        <v>219</v>
      </c>
      <c r="U2" s="6" t="s">
        <v>220</v>
      </c>
      <c r="V2" s="10" t="str">
        <f>TEXT(E2,"#,##0")&amp;" km"</f>
        <v>8,055 km</v>
      </c>
      <c r="W2" s="6" t="s">
        <v>67</v>
      </c>
      <c r="X2" s="6"/>
      <c r="Y2" s="6" t="s">
        <v>68</v>
      </c>
      <c r="Z2" s="6" t="s">
        <v>68</v>
      </c>
      <c r="AA2" s="6"/>
      <c r="AB2" s="6"/>
      <c r="AC2" s="6"/>
      <c r="AD2" s="6"/>
      <c r="AE2" s="6"/>
      <c r="AF2" s="6"/>
      <c r="AG2" s="6"/>
      <c r="AH2" s="11"/>
      <c r="AI2" s="6"/>
      <c r="AJ2" s="11"/>
      <c r="AK2" s="6"/>
      <c r="AL2" s="11"/>
      <c r="AM2" s="6"/>
      <c r="AN2" s="11"/>
      <c r="AO2" s="11"/>
      <c r="AP2" s="6"/>
      <c r="AQ2" s="6"/>
      <c r="AR2" s="11"/>
      <c r="AS2" s="11"/>
      <c r="AT2" s="11" t="s">
        <v>69</v>
      </c>
      <c r="AU2" s="12" t="s">
        <v>70</v>
      </c>
      <c r="AV2" s="12" t="s">
        <v>71</v>
      </c>
      <c r="AW2" s="12" t="s">
        <v>72</v>
      </c>
      <c r="AX2" s="12" t="s">
        <v>73</v>
      </c>
      <c r="AY2" s="6" t="s">
        <v>74</v>
      </c>
      <c r="AZ2" s="13" t="s">
        <v>75</v>
      </c>
      <c r="BA2" s="13" t="s">
        <v>76</v>
      </c>
      <c r="BB2" s="13" t="s">
        <v>77</v>
      </c>
      <c r="BC2" s="13" t="str">
        <f t="shared" ref="BC2:BC6" si="0">_xlfn.CONCAT(BA2," ",BB2)</f>
        <v>Neeti Tripathi</v>
      </c>
      <c r="BD2" s="13" t="s">
        <v>78</v>
      </c>
      <c r="BE2" s="13" t="s">
        <v>79</v>
      </c>
      <c r="BF2" s="13" t="s">
        <v>80</v>
      </c>
      <c r="BG2" s="13" t="s">
        <v>81</v>
      </c>
      <c r="BH2" s="13" t="s">
        <v>82</v>
      </c>
      <c r="BI2" s="13" t="str">
        <f t="shared" ref="BI2:BI6" si="1">BK2&amp;" - "&amp;BJ2</f>
        <v>TESLA MODEL Y - CYP806</v>
      </c>
      <c r="BJ2" s="13" t="s">
        <v>83</v>
      </c>
      <c r="BK2" s="13" t="s">
        <v>84</v>
      </c>
      <c r="BL2" s="13" t="s">
        <v>85</v>
      </c>
    </row>
    <row r="3" s="2" customFormat="1" ht="124.2" spans="1:64">
      <c r="A3" s="6" t="s">
        <v>86</v>
      </c>
      <c r="B3" s="6" t="s">
        <v>58</v>
      </c>
      <c r="C3" s="6" t="s">
        <v>87</v>
      </c>
      <c r="D3" s="6"/>
      <c r="E3" s="6" t="s">
        <v>88</v>
      </c>
      <c r="F3" s="8" t="s">
        <v>60</v>
      </c>
      <c r="G3" s="8" t="s">
        <v>61</v>
      </c>
      <c r="H3" s="6" t="s">
        <v>62</v>
      </c>
      <c r="I3" s="6" t="s">
        <v>63</v>
      </c>
      <c r="J3" s="9" t="s">
        <v>64</v>
      </c>
      <c r="K3" s="6" t="s">
        <v>63</v>
      </c>
      <c r="L3" s="6" t="s">
        <v>63</v>
      </c>
      <c r="M3" s="6" t="s">
        <v>63</v>
      </c>
      <c r="N3" s="6" t="s">
        <v>63</v>
      </c>
      <c r="O3" s="6" t="s">
        <v>63</v>
      </c>
      <c r="P3" s="6" t="s">
        <v>63</v>
      </c>
      <c r="Q3" s="6" t="s">
        <v>63</v>
      </c>
      <c r="R3" s="6" t="s">
        <v>63</v>
      </c>
      <c r="S3" s="6" t="s">
        <v>89</v>
      </c>
      <c r="T3" s="6" t="s">
        <v>90</v>
      </c>
      <c r="U3" s="6" t="s">
        <v>91</v>
      </c>
      <c r="V3" s="6" t="s">
        <v>92</v>
      </c>
      <c r="W3" s="6" t="s">
        <v>67</v>
      </c>
      <c r="X3" s="6" t="s">
        <v>93</v>
      </c>
      <c r="Y3" s="6" t="s">
        <v>68</v>
      </c>
      <c r="Z3" s="6" t="s">
        <v>68</v>
      </c>
      <c r="AA3" s="6" t="s">
        <v>94</v>
      </c>
      <c r="AB3" s="6"/>
      <c r="AC3" s="6"/>
      <c r="AD3" s="6" t="s">
        <v>75</v>
      </c>
      <c r="AE3" s="6" t="s">
        <v>95</v>
      </c>
      <c r="AF3" s="6" t="s">
        <v>96</v>
      </c>
      <c r="AG3" s="6" t="s">
        <v>97</v>
      </c>
      <c r="AH3" s="11" t="s">
        <v>98</v>
      </c>
      <c r="AI3" s="6" t="s">
        <v>99</v>
      </c>
      <c r="AJ3" s="11" t="s">
        <v>100</v>
      </c>
      <c r="AK3" s="6" t="s">
        <v>101</v>
      </c>
      <c r="AL3" s="11" t="s">
        <v>102</v>
      </c>
      <c r="AM3" s="6" t="s">
        <v>100</v>
      </c>
      <c r="AN3" s="11" t="s">
        <v>103</v>
      </c>
      <c r="AO3" s="11" t="s">
        <v>104</v>
      </c>
      <c r="AP3" s="6" t="s">
        <v>68</v>
      </c>
      <c r="AQ3" s="11" t="s">
        <v>105</v>
      </c>
      <c r="AR3" s="11" t="s">
        <v>94</v>
      </c>
      <c r="AS3" s="11" t="s">
        <v>105</v>
      </c>
      <c r="AT3" s="11" t="s">
        <v>69</v>
      </c>
      <c r="AU3" s="12" t="s">
        <v>70</v>
      </c>
      <c r="AV3" s="12" t="s">
        <v>71</v>
      </c>
      <c r="AW3" s="12" t="s">
        <v>72</v>
      </c>
      <c r="AX3" s="12" t="s">
        <v>73</v>
      </c>
      <c r="AY3" s="6" t="s">
        <v>74</v>
      </c>
      <c r="AZ3" s="14" t="s">
        <v>106</v>
      </c>
      <c r="BA3" s="14" t="s">
        <v>107</v>
      </c>
      <c r="BB3" s="14" t="s">
        <v>108</v>
      </c>
      <c r="BC3" s="14" t="s">
        <v>109</v>
      </c>
      <c r="BD3" s="14" t="s">
        <v>110</v>
      </c>
      <c r="BE3" s="14" t="s">
        <v>111</v>
      </c>
      <c r="BF3" s="14" t="s">
        <v>112</v>
      </c>
      <c r="BG3" s="14" t="s">
        <v>113</v>
      </c>
      <c r="BH3" s="14" t="s">
        <v>114</v>
      </c>
      <c r="BI3" s="14" t="s">
        <v>115</v>
      </c>
      <c r="BJ3" s="14" t="s">
        <v>116</v>
      </c>
      <c r="BK3" s="14" t="s">
        <v>117</v>
      </c>
      <c r="BL3" s="14" t="s">
        <v>118</v>
      </c>
    </row>
    <row r="4" s="2" customFormat="1" ht="124.2" spans="1:64">
      <c r="A4" s="6" t="s">
        <v>119</v>
      </c>
      <c r="B4" s="6" t="s">
        <v>58</v>
      </c>
      <c r="C4" s="6" t="s">
        <v>221</v>
      </c>
      <c r="D4" s="7" t="n">
        <f>C4+1</f>
        <v>8056.0</v>
      </c>
      <c r="E4" s="7" t="n">
        <f>C4+1</f>
        <v>8056.0</v>
      </c>
      <c r="F4" s="8" t="s">
        <v>121</v>
      </c>
      <c r="G4" s="8" t="s">
        <v>122</v>
      </c>
      <c r="H4" s="6" t="s">
        <v>62</v>
      </c>
      <c r="I4" s="6" t="s">
        <v>63</v>
      </c>
      <c r="J4" s="6" t="s">
        <v>63</v>
      </c>
      <c r="K4" s="6">
        <v>1</v>
      </c>
      <c r="L4" s="6" t="s">
        <v>63</v>
      </c>
      <c r="M4" s="6" t="s">
        <v>63</v>
      </c>
      <c r="N4" s="6" t="s">
        <v>63</v>
      </c>
      <c r="O4" s="6" t="s">
        <v>63</v>
      </c>
      <c r="P4" s="6" t="s">
        <v>63</v>
      </c>
      <c r="Q4" s="6" t="s">
        <v>63</v>
      </c>
      <c r="R4" s="6" t="s">
        <v>63</v>
      </c>
      <c r="S4" s="6" t="s">
        <v>219</v>
      </c>
      <c r="T4" s="6" t="s">
        <v>219</v>
      </c>
      <c r="U4" s="6" t="s">
        <v>222</v>
      </c>
      <c r="V4" s="10" t="str">
        <f>TEXT(E4,"#,##0")&amp;" km"</f>
        <v>8,056 km</v>
      </c>
      <c r="W4" s="6" t="s">
        <v>67</v>
      </c>
      <c r="X4" s="6"/>
      <c r="Y4" s="6" t="s">
        <v>68</v>
      </c>
      <c r="Z4" s="6" t="s">
        <v>68</v>
      </c>
      <c r="AA4" s="6"/>
      <c r="AB4" s="6"/>
      <c r="AC4" s="6"/>
      <c r="AD4" s="6"/>
      <c r="AE4" s="6"/>
      <c r="AF4" s="6"/>
      <c r="AG4" s="6"/>
      <c r="AH4" s="11"/>
      <c r="AI4" s="6"/>
      <c r="AJ4" s="11"/>
      <c r="AK4" s="6"/>
      <c r="AL4" s="11"/>
      <c r="AM4" s="6"/>
      <c r="AN4" s="11"/>
      <c r="AO4" s="11"/>
      <c r="AP4" s="6"/>
      <c r="AQ4" s="6"/>
      <c r="AR4" s="11"/>
      <c r="AS4" s="11"/>
      <c r="AT4" s="11"/>
      <c r="AU4" s="12" t="s">
        <v>70</v>
      </c>
      <c r="AV4" s="12" t="s">
        <v>71</v>
      </c>
      <c r="AW4" s="12" t="s">
        <v>72</v>
      </c>
      <c r="AX4" s="12"/>
      <c r="AY4" s="6" t="s">
        <v>74</v>
      </c>
      <c r="AZ4" s="11" t="s">
        <v>75</v>
      </c>
      <c r="BA4" s="11" t="s">
        <v>76</v>
      </c>
      <c r="BB4" s="11" t="s">
        <v>77</v>
      </c>
      <c r="BC4" s="13" t="str">
        <f t="shared" si="0"/>
        <v>Neeti Tripathi</v>
      </c>
      <c r="BD4" s="11" t="s">
        <v>78</v>
      </c>
      <c r="BE4" s="11" t="s">
        <v>79</v>
      </c>
      <c r="BF4" s="11" t="s">
        <v>80</v>
      </c>
      <c r="BG4" s="11" t="s">
        <v>81</v>
      </c>
      <c r="BH4" s="11" t="s">
        <v>82</v>
      </c>
      <c r="BI4" s="13" t="str">
        <f t="shared" si="1"/>
        <v>TESLA MODEL Y - CYP806</v>
      </c>
      <c r="BJ4" s="6" t="s">
        <v>83</v>
      </c>
      <c r="BK4" s="6" t="s">
        <v>84</v>
      </c>
      <c r="BL4" s="6" t="s">
        <v>85</v>
      </c>
    </row>
    <row r="5" s="2" customFormat="1" ht="124.2" spans="1:64">
      <c r="A5" s="6" t="s">
        <v>124</v>
      </c>
      <c r="B5" s="6" t="s">
        <v>58</v>
      </c>
      <c r="C5" s="6" t="s">
        <v>125</v>
      </c>
      <c r="D5" s="6"/>
      <c r="E5" s="6" t="s">
        <v>126</v>
      </c>
      <c r="F5" s="8" t="s">
        <v>121</v>
      </c>
      <c r="G5" s="8" t="s">
        <v>122</v>
      </c>
      <c r="H5" s="6" t="s">
        <v>62</v>
      </c>
      <c r="I5" s="6" t="s">
        <v>63</v>
      </c>
      <c r="J5" s="6" t="s">
        <v>63</v>
      </c>
      <c r="K5" s="6">
        <v>1</v>
      </c>
      <c r="L5" s="6" t="s">
        <v>63</v>
      </c>
      <c r="M5" s="6" t="s">
        <v>63</v>
      </c>
      <c r="N5" s="6" t="s">
        <v>63</v>
      </c>
      <c r="O5" s="6" t="s">
        <v>63</v>
      </c>
      <c r="P5" s="6" t="s">
        <v>63</v>
      </c>
      <c r="Q5" s="6" t="s">
        <v>63</v>
      </c>
      <c r="R5" s="6" t="s">
        <v>63</v>
      </c>
      <c r="S5" s="6" t="s">
        <v>127</v>
      </c>
      <c r="T5" s="6" t="s">
        <v>128</v>
      </c>
      <c r="U5" s="6" t="s">
        <v>129</v>
      </c>
      <c r="V5" s="6" t="s">
        <v>130</v>
      </c>
      <c r="W5" s="6" t="s">
        <v>67</v>
      </c>
      <c r="X5" s="6" t="s">
        <v>93</v>
      </c>
      <c r="Y5" s="6" t="s">
        <v>68</v>
      </c>
      <c r="Z5" s="6" t="s">
        <v>68</v>
      </c>
      <c r="AA5" s="6" t="s">
        <v>94</v>
      </c>
      <c r="AB5" s="6" t="s">
        <v>131</v>
      </c>
      <c r="AC5" s="6" t="s">
        <v>132</v>
      </c>
      <c r="AD5" s="6" t="s">
        <v>75</v>
      </c>
      <c r="AE5" s="6" t="s">
        <v>95</v>
      </c>
      <c r="AF5" s="6" t="s">
        <v>96</v>
      </c>
      <c r="AG5" s="6" t="s">
        <v>97</v>
      </c>
      <c r="AH5" s="11" t="s">
        <v>98</v>
      </c>
      <c r="AI5" s="6" t="s">
        <v>99</v>
      </c>
      <c r="AJ5" s="11" t="s">
        <v>100</v>
      </c>
      <c r="AK5" s="6" t="s">
        <v>101</v>
      </c>
      <c r="AL5" s="11" t="s">
        <v>102</v>
      </c>
      <c r="AM5" s="6" t="s">
        <v>100</v>
      </c>
      <c r="AN5" s="11" t="s">
        <v>103</v>
      </c>
      <c r="AO5" s="11" t="s">
        <v>104</v>
      </c>
      <c r="AP5" s="6" t="s">
        <v>68</v>
      </c>
      <c r="AQ5" s="6" t="s">
        <v>105</v>
      </c>
      <c r="AR5" s="11" t="s">
        <v>94</v>
      </c>
      <c r="AS5" s="11" t="s">
        <v>105</v>
      </c>
      <c r="AT5" s="11"/>
      <c r="AU5" s="12" t="s">
        <v>70</v>
      </c>
      <c r="AV5" s="12" t="s">
        <v>71</v>
      </c>
      <c r="AW5" s="12" t="s">
        <v>72</v>
      </c>
      <c r="AX5" s="12"/>
      <c r="AY5" s="6" t="s">
        <v>74</v>
      </c>
      <c r="AZ5" s="14" t="s">
        <v>133</v>
      </c>
      <c r="BA5" s="14" t="s">
        <v>134</v>
      </c>
      <c r="BB5" s="14" t="s">
        <v>135</v>
      </c>
      <c r="BC5" s="14" t="s">
        <v>136</v>
      </c>
      <c r="BD5" s="14" t="s">
        <v>137</v>
      </c>
      <c r="BE5" s="14" t="s">
        <v>138</v>
      </c>
      <c r="BF5" s="14" t="s">
        <v>139</v>
      </c>
      <c r="BG5" s="14" t="s">
        <v>140</v>
      </c>
      <c r="BH5" s="14" t="s">
        <v>141</v>
      </c>
      <c r="BI5" s="14" t="s">
        <v>142</v>
      </c>
      <c r="BJ5" s="14" t="s">
        <v>143</v>
      </c>
      <c r="BK5" s="14" t="s">
        <v>144</v>
      </c>
      <c r="BL5" s="14" t="s">
        <v>145</v>
      </c>
    </row>
    <row r="6" s="2" customFormat="1" ht="124.2" spans="1:64">
      <c r="A6" s="6" t="s">
        <v>146</v>
      </c>
      <c r="B6" s="6" t="s">
        <v>58</v>
      </c>
      <c r="C6" s="6" t="s">
        <v>223</v>
      </c>
      <c r="D6" s="7" t="n">
        <f>C6+1</f>
        <v>8057.0</v>
      </c>
      <c r="E6" s="7" t="n">
        <f>C6+1</f>
        <v>8057.0</v>
      </c>
      <c r="F6" s="8" t="s">
        <v>147</v>
      </c>
      <c r="G6" s="8" t="s">
        <v>148</v>
      </c>
      <c r="H6" s="6" t="s">
        <v>62</v>
      </c>
      <c r="I6" s="6" t="s">
        <v>63</v>
      </c>
      <c r="J6" s="6" t="s">
        <v>63</v>
      </c>
      <c r="K6" s="6" t="s">
        <v>63</v>
      </c>
      <c r="L6" s="6" t="s">
        <v>63</v>
      </c>
      <c r="M6" s="6" t="s">
        <v>63</v>
      </c>
      <c r="N6" s="6" t="s">
        <v>63</v>
      </c>
      <c r="O6" s="6" t="s">
        <v>63</v>
      </c>
      <c r="P6" s="6" t="s">
        <v>63</v>
      </c>
      <c r="Q6" s="6" t="s">
        <v>63</v>
      </c>
      <c r="R6" s="6" t="s">
        <v>63</v>
      </c>
      <c r="S6" s="6" t="s">
        <v>219</v>
      </c>
      <c r="T6" s="6" t="s">
        <v>219</v>
      </c>
      <c r="U6" s="6" t="s">
        <v>224</v>
      </c>
      <c r="V6" s="10" t="str">
        <f>TEXT(E6,"#,##0")&amp;" km"</f>
        <v>8,057 km</v>
      </c>
      <c r="W6" s="6" t="s">
        <v>67</v>
      </c>
      <c r="X6" s="6"/>
      <c r="Y6" s="6" t="s">
        <v>68</v>
      </c>
      <c r="Z6" s="6" t="s">
        <v>68</v>
      </c>
      <c r="AA6" s="6"/>
      <c r="AB6" s="6"/>
      <c r="AC6" s="6"/>
      <c r="AD6" s="6"/>
      <c r="AE6" s="6"/>
      <c r="AF6" s="6"/>
      <c r="AG6" s="6"/>
      <c r="AH6" s="11"/>
      <c r="AI6" s="6"/>
      <c r="AJ6" s="11"/>
      <c r="AK6" s="6"/>
      <c r="AL6" s="11"/>
      <c r="AM6" s="6"/>
      <c r="AN6" s="11"/>
      <c r="AO6" s="11"/>
      <c r="AP6" s="6"/>
      <c r="AQ6" s="6"/>
      <c r="AR6" s="11"/>
      <c r="AS6" s="11"/>
      <c r="AT6" s="11" t="s">
        <v>150</v>
      </c>
      <c r="AU6" s="12" t="s">
        <v>70</v>
      </c>
      <c r="AV6" s="12" t="s">
        <v>71</v>
      </c>
      <c r="AW6" s="12" t="s">
        <v>72</v>
      </c>
      <c r="AX6" s="8" t="s">
        <v>151</v>
      </c>
      <c r="AY6" s="6" t="s">
        <v>74</v>
      </c>
      <c r="AZ6" s="11" t="s">
        <v>75</v>
      </c>
      <c r="BA6" s="11" t="s">
        <v>76</v>
      </c>
      <c r="BB6" s="11" t="s">
        <v>77</v>
      </c>
      <c r="BC6" s="13" t="str">
        <f t="shared" si="0"/>
        <v>Neeti Tripathi</v>
      </c>
      <c r="BD6" s="11" t="s">
        <v>78</v>
      </c>
      <c r="BE6" s="11" t="s">
        <v>79</v>
      </c>
      <c r="BF6" s="11" t="s">
        <v>80</v>
      </c>
      <c r="BG6" s="11" t="s">
        <v>81</v>
      </c>
      <c r="BH6" s="11" t="s">
        <v>82</v>
      </c>
      <c r="BI6" s="13" t="str">
        <f t="shared" si="1"/>
        <v>TESLA MODEL Y - CYP806</v>
      </c>
      <c r="BJ6" s="6" t="s">
        <v>83</v>
      </c>
      <c r="BK6" s="6" t="s">
        <v>84</v>
      </c>
      <c r="BL6" s="6" t="s">
        <v>85</v>
      </c>
    </row>
    <row r="7" s="2" customFormat="1" ht="124.2" spans="1:64">
      <c r="A7" s="6" t="s">
        <v>152</v>
      </c>
      <c r="B7" s="6" t="s">
        <v>58</v>
      </c>
      <c r="C7" s="6" t="s">
        <v>153</v>
      </c>
      <c r="D7" s="6"/>
      <c r="E7" s="6" t="s">
        <v>154</v>
      </c>
      <c r="F7" s="8" t="s">
        <v>147</v>
      </c>
      <c r="G7" s="8" t="s">
        <v>148</v>
      </c>
      <c r="H7" s="6" t="s">
        <v>62</v>
      </c>
      <c r="I7" s="6" t="s">
        <v>63</v>
      </c>
      <c r="J7" s="6" t="s">
        <v>63</v>
      </c>
      <c r="K7" s="6" t="s">
        <v>63</v>
      </c>
      <c r="L7" s="6" t="s">
        <v>63</v>
      </c>
      <c r="M7" s="6" t="s">
        <v>63</v>
      </c>
      <c r="N7" s="6" t="s">
        <v>63</v>
      </c>
      <c r="O7" s="6" t="s">
        <v>63</v>
      </c>
      <c r="P7" s="6" t="s">
        <v>63</v>
      </c>
      <c r="Q7" s="6" t="s">
        <v>63</v>
      </c>
      <c r="R7" s="6" t="s">
        <v>63</v>
      </c>
      <c r="S7" s="6" t="s">
        <v>155</v>
      </c>
      <c r="T7" s="6" t="s">
        <v>156</v>
      </c>
      <c r="U7" s="6" t="s">
        <v>157</v>
      </c>
      <c r="V7" s="6" t="s">
        <v>158</v>
      </c>
      <c r="W7" s="6" t="s">
        <v>67</v>
      </c>
      <c r="X7" s="6" t="s">
        <v>93</v>
      </c>
      <c r="Y7" s="6" t="s">
        <v>68</v>
      </c>
      <c r="Z7" s="6" t="s">
        <v>68</v>
      </c>
      <c r="AA7" s="6" t="s">
        <v>94</v>
      </c>
      <c r="AB7" s="6"/>
      <c r="AC7" s="6"/>
      <c r="AD7" s="6" t="s">
        <v>75</v>
      </c>
      <c r="AE7" s="6" t="s">
        <v>95</v>
      </c>
      <c r="AF7" s="6" t="s">
        <v>96</v>
      </c>
      <c r="AG7" s="6" t="s">
        <v>97</v>
      </c>
      <c r="AH7" s="11" t="s">
        <v>98</v>
      </c>
      <c r="AI7" s="6" t="s">
        <v>99</v>
      </c>
      <c r="AJ7" s="11" t="s">
        <v>100</v>
      </c>
      <c r="AK7" s="6" t="s">
        <v>101</v>
      </c>
      <c r="AL7" s="11" t="s">
        <v>102</v>
      </c>
      <c r="AM7" s="6" t="s">
        <v>100</v>
      </c>
      <c r="AN7" s="11" t="s">
        <v>103</v>
      </c>
      <c r="AO7" s="11" t="s">
        <v>104</v>
      </c>
      <c r="AP7" s="6" t="s">
        <v>68</v>
      </c>
      <c r="AQ7" s="6" t="s">
        <v>105</v>
      </c>
      <c r="AR7" s="11" t="s">
        <v>94</v>
      </c>
      <c r="AS7" s="11" t="s">
        <v>105</v>
      </c>
      <c r="AT7" s="11" t="s">
        <v>150</v>
      </c>
      <c r="AU7" s="12" t="s">
        <v>70</v>
      </c>
      <c r="AV7" s="12" t="s">
        <v>71</v>
      </c>
      <c r="AW7" s="12" t="s">
        <v>72</v>
      </c>
      <c r="AX7" s="8" t="s">
        <v>151</v>
      </c>
      <c r="AY7" s="6" t="s">
        <v>74</v>
      </c>
      <c r="AZ7" s="14" t="s">
        <v>159</v>
      </c>
      <c r="BA7" s="14" t="s">
        <v>160</v>
      </c>
      <c r="BB7" s="14" t="s">
        <v>161</v>
      </c>
      <c r="BC7" s="14" t="s">
        <v>162</v>
      </c>
      <c r="BD7" s="14" t="s">
        <v>163</v>
      </c>
      <c r="BE7" s="14" t="s">
        <v>164</v>
      </c>
      <c r="BF7" s="14" t="s">
        <v>165</v>
      </c>
      <c r="BG7" s="14" t="s">
        <v>166</v>
      </c>
      <c r="BH7" s="14" t="s">
        <v>167</v>
      </c>
      <c r="BI7" s="14" t="s">
        <v>168</v>
      </c>
      <c r="BJ7" s="14" t="s">
        <v>169</v>
      </c>
      <c r="BK7" s="14" t="s">
        <v>170</v>
      </c>
      <c r="BL7" s="14" t="s">
        <v>171</v>
      </c>
    </row>
    <row r="8" s="2" customFormat="1" ht="124.2" spans="1:64">
      <c r="A8" s="6" t="s">
        <v>172</v>
      </c>
      <c r="B8" s="6" t="s">
        <v>58</v>
      </c>
      <c r="C8" s="6" t="s">
        <v>225</v>
      </c>
      <c r="D8" s="7" t="n">
        <f>C8+1</f>
        <v>8058.0</v>
      </c>
      <c r="E8" s="7" t="n">
        <f>C8+1</f>
        <v>8058.0</v>
      </c>
      <c r="F8" s="8" t="s">
        <v>174</v>
      </c>
      <c r="G8" s="8" t="s">
        <v>148</v>
      </c>
      <c r="H8" s="6" t="s">
        <v>62</v>
      </c>
      <c r="I8" s="6" t="s">
        <v>63</v>
      </c>
      <c r="J8" s="6" t="s">
        <v>63</v>
      </c>
      <c r="K8" s="6" t="s">
        <v>63</v>
      </c>
      <c r="L8" s="6" t="s">
        <v>63</v>
      </c>
      <c r="M8" s="6" t="s">
        <v>63</v>
      </c>
      <c r="N8" s="6" t="s">
        <v>63</v>
      </c>
      <c r="O8" s="6" t="s">
        <v>63</v>
      </c>
      <c r="P8" s="6" t="s">
        <v>63</v>
      </c>
      <c r="Q8" s="6" t="s">
        <v>63</v>
      </c>
      <c r="R8" s="6" t="s">
        <v>63</v>
      </c>
      <c r="S8" s="6" t="s">
        <v>219</v>
      </c>
      <c r="T8" s="6" t="s">
        <v>219</v>
      </c>
      <c r="U8" s="6" t="s">
        <v>226</v>
      </c>
      <c r="V8" s="10" t="str">
        <f>TEXT(E8,"#,##0")&amp;" km"</f>
        <v>8,058 km</v>
      </c>
      <c r="W8" s="6" t="s">
        <v>67</v>
      </c>
      <c r="X8" s="6"/>
      <c r="Y8" s="6" t="s">
        <v>68</v>
      </c>
      <c r="Z8" s="6" t="s">
        <v>68</v>
      </c>
      <c r="AA8" s="6"/>
      <c r="AB8" s="6"/>
      <c r="AC8" s="6"/>
      <c r="AD8" s="6"/>
      <c r="AE8" s="6"/>
      <c r="AF8" s="6"/>
      <c r="AG8" s="6"/>
      <c r="AH8" s="11"/>
      <c r="AI8" s="6"/>
      <c r="AJ8" s="11"/>
      <c r="AK8" s="6"/>
      <c r="AL8" s="11"/>
      <c r="AM8" s="6"/>
      <c r="AN8" s="11"/>
      <c r="AO8" s="11"/>
      <c r="AP8" s="6"/>
      <c r="AQ8" s="6"/>
      <c r="AR8" s="11"/>
      <c r="AS8" s="11"/>
      <c r="AT8" s="11" t="s">
        <v>150</v>
      </c>
      <c r="AU8" s="12" t="s">
        <v>70</v>
      </c>
      <c r="AV8" s="12" t="s">
        <v>71</v>
      </c>
      <c r="AW8" s="12" t="s">
        <v>72</v>
      </c>
      <c r="AX8" s="8" t="s">
        <v>151</v>
      </c>
      <c r="AY8" s="6" t="s">
        <v>74</v>
      </c>
      <c r="AZ8" s="11" t="s">
        <v>75</v>
      </c>
      <c r="BA8" s="11" t="s">
        <v>76</v>
      </c>
      <c r="BB8" s="11" t="s">
        <v>77</v>
      </c>
      <c r="BC8" s="13" t="str">
        <f>_xlfn.CONCAT(BA8," ",BB8)</f>
        <v>Neeti Tripathi</v>
      </c>
      <c r="BD8" s="11" t="s">
        <v>78</v>
      </c>
      <c r="BE8" s="11" t="s">
        <v>79</v>
      </c>
      <c r="BF8" s="11" t="s">
        <v>80</v>
      </c>
      <c r="BG8" s="11" t="s">
        <v>81</v>
      </c>
      <c r="BH8" s="11" t="s">
        <v>82</v>
      </c>
      <c r="BI8" s="13" t="str">
        <f>BK8&amp;" - "&amp;BJ8</f>
        <v>TESLA MODEL Y - CYP806</v>
      </c>
      <c r="BJ8" s="6" t="s">
        <v>83</v>
      </c>
      <c r="BK8" s="6" t="s">
        <v>84</v>
      </c>
      <c r="BL8" s="6" t="s">
        <v>85</v>
      </c>
    </row>
    <row r="9" s="2" customFormat="1" ht="124.2" spans="1:64">
      <c r="A9" s="6" t="s">
        <v>176</v>
      </c>
      <c r="B9" s="6" t="s">
        <v>58</v>
      </c>
      <c r="C9" s="6" t="s">
        <v>177</v>
      </c>
      <c r="D9" s="6"/>
      <c r="E9" s="6" t="s">
        <v>178</v>
      </c>
      <c r="F9" s="8" t="s">
        <v>174</v>
      </c>
      <c r="G9" s="8" t="s">
        <v>148</v>
      </c>
      <c r="H9" s="6" t="s">
        <v>62</v>
      </c>
      <c r="I9" s="6" t="s">
        <v>63</v>
      </c>
      <c r="J9" s="6" t="s">
        <v>63</v>
      </c>
      <c r="K9" s="6" t="s">
        <v>63</v>
      </c>
      <c r="L9" s="6" t="s">
        <v>63</v>
      </c>
      <c r="M9" s="6" t="s">
        <v>63</v>
      </c>
      <c r="N9" s="6" t="s">
        <v>63</v>
      </c>
      <c r="O9" s="6" t="s">
        <v>63</v>
      </c>
      <c r="P9" s="6" t="s">
        <v>63</v>
      </c>
      <c r="Q9" s="6" t="s">
        <v>63</v>
      </c>
      <c r="R9" s="6" t="s">
        <v>63</v>
      </c>
      <c r="S9" s="6" t="s">
        <v>179</v>
      </c>
      <c r="T9" s="6" t="s">
        <v>180</v>
      </c>
      <c r="U9" s="6" t="s">
        <v>181</v>
      </c>
      <c r="V9" s="6" t="s">
        <v>182</v>
      </c>
      <c r="W9" s="6" t="s">
        <v>67</v>
      </c>
      <c r="X9" s="6" t="s">
        <v>93</v>
      </c>
      <c r="Y9" s="6" t="s">
        <v>68</v>
      </c>
      <c r="Z9" s="6" t="s">
        <v>68</v>
      </c>
      <c r="AA9" s="6" t="s">
        <v>94</v>
      </c>
      <c r="AB9" s="6"/>
      <c r="AC9" s="6"/>
      <c r="AD9" s="6" t="s">
        <v>75</v>
      </c>
      <c r="AE9" s="6" t="s">
        <v>95</v>
      </c>
      <c r="AF9" s="6" t="s">
        <v>96</v>
      </c>
      <c r="AG9" s="6" t="s">
        <v>97</v>
      </c>
      <c r="AH9" s="11" t="s">
        <v>98</v>
      </c>
      <c r="AI9" s="6" t="s">
        <v>99</v>
      </c>
      <c r="AJ9" s="11" t="s">
        <v>100</v>
      </c>
      <c r="AK9" s="6" t="s">
        <v>101</v>
      </c>
      <c r="AL9" s="11" t="s">
        <v>102</v>
      </c>
      <c r="AM9" s="6" t="s">
        <v>100</v>
      </c>
      <c r="AN9" s="11" t="s">
        <v>103</v>
      </c>
      <c r="AO9" s="11" t="s">
        <v>104</v>
      </c>
      <c r="AP9" s="6" t="s">
        <v>68</v>
      </c>
      <c r="AQ9" s="6" t="s">
        <v>105</v>
      </c>
      <c r="AR9" s="11" t="s">
        <v>94</v>
      </c>
      <c r="AS9" s="11" t="s">
        <v>105</v>
      </c>
      <c r="AT9" s="11" t="s">
        <v>150</v>
      </c>
      <c r="AU9" s="12" t="s">
        <v>70</v>
      </c>
      <c r="AV9" s="12" t="s">
        <v>71</v>
      </c>
      <c r="AW9" s="12" t="s">
        <v>72</v>
      </c>
      <c r="AX9" s="8" t="s">
        <v>151</v>
      </c>
      <c r="AY9" s="6" t="s">
        <v>74</v>
      </c>
      <c r="AZ9" s="14" t="s">
        <v>183</v>
      </c>
      <c r="BA9" s="14" t="s">
        <v>184</v>
      </c>
      <c r="BB9" s="14" t="s">
        <v>185</v>
      </c>
      <c r="BC9" s="14" t="s">
        <v>186</v>
      </c>
      <c r="BD9" s="14" t="s">
        <v>187</v>
      </c>
      <c r="BE9" s="14" t="s">
        <v>188</v>
      </c>
      <c r="BF9" s="14" t="s">
        <v>189</v>
      </c>
      <c r="BG9" s="14" t="s">
        <v>190</v>
      </c>
      <c r="BH9" s="14" t="s">
        <v>191</v>
      </c>
      <c r="BI9" s="14" t="s">
        <v>192</v>
      </c>
      <c r="BJ9" s="14" t="s">
        <v>193</v>
      </c>
      <c r="BK9" s="14" t="s">
        <v>194</v>
      </c>
      <c r="BL9" s="14" t="s">
        <v>195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2025-12-01T12:03:00Z</dcterms:created>
  <dc:creator>Sonu Singh</dc:creator>
  <cp:lastModifiedBy>HP</cp:lastModifiedBy>
  <dcterms:modified xsi:type="dcterms:W3CDTF">2026-07-27T09:48:23Z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7DCB9CEED9C140F39456F2E5680BD05D_12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