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44CEDDBC-9068-4660-A878-FCFD4E1AD98C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4" l="1"/>
  <c r="AD2" i="14"/>
  <c r="D2" i="14"/>
  <c r="E2" i="14" s="1"/>
  <c r="F2" i="14" s="1"/>
  <c r="G2" i="14" s="1"/>
  <c r="Y2" i="14" s="1"/>
</calcChain>
</file>

<file path=xl/sharedStrings.xml><?xml version="1.0" encoding="utf-8"?>
<sst xmlns="http://schemas.openxmlformats.org/spreadsheetml/2006/main" count="235" uniqueCount="139">
  <si>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</si>
  <si>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</si>
  <si>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</si>
  <si>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</si>
  <si>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</si>
  <si>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</si>
  <si>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</si>
  <si>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</si>
  <si>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</si>
  <si>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</si>
  <si>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</si>
  <si>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</si>
  <si>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</si>
  <si>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</si>
  <si>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</si>
  <si>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</si>
  <si>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</si>
  <si>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</si>
  <si>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</si>
  <si>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</si>
  <si>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</si>
  <si>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</si>
  <si>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</si>
  <si>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Name</t>
  </si>
  <si>
    <t>Driver Date of Birth</t>
  </si>
  <si>
    <t>Driver Mobile Phone</t>
  </si>
  <si>
    <t>Driver Email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</si>
  <si>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</si>
  <si>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</si>
  <si>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</si>
  <si>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</si>
  <si>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</si>
  <si>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</si>
  <si>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</si>
  <si>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N/A</t>
  </si>
  <si>
    <t>Mr</t>
  </si>
  <si>
    <t>MAZDA CX-5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</si>
  <si>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</si>
  <si>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</si>
  <si>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</si>
  <si>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</si>
  <si>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</si>
  <si>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</si>
  <si>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</si>
  <si>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</si>
  <si>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</si>
  <si>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</si>
  <si>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</si>
  <si>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</si>
  <si>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</si>
  <si>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</si>
  <si>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</si>
  <si>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</si>
  <si>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</si>
  <si>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Latest Reading (kms)
18,065 km</t>
  </si>
  <si>
    <t>Last Odometer Reading with km</t>
  </si>
  <si>
    <t>Last Odometer Reading without Km</t>
  </si>
  <si>
    <t xml:space="preserve">Amount </t>
  </si>
  <si>
    <t>Legal First Name</t>
  </si>
  <si>
    <t>Legal Middle Name</t>
  </si>
  <si>
    <t>Legal Last Name</t>
  </si>
  <si>
    <t>Driver Work Email</t>
  </si>
  <si>
    <t>Driver Residential Address</t>
  </si>
  <si>
    <t>Driver Postal Address</t>
  </si>
  <si>
    <t>Account Name</t>
  </si>
  <si>
    <t>Account Holder</t>
  </si>
  <si>
    <t>Bank Name</t>
  </si>
  <si>
    <t>BSB</t>
  </si>
  <si>
    <t>Account Number</t>
  </si>
  <si>
    <t>Account Type</t>
  </si>
  <si>
    <t>Request Ref Number</t>
  </si>
  <si>
    <t>Submitted By</t>
  </si>
  <si>
    <t>Updated By</t>
  </si>
  <si>
    <t>Service Document</t>
  </si>
  <si>
    <t>Employer ABN</t>
  </si>
  <si>
    <t>AutoLease Reference #</t>
  </si>
  <si>
    <t>Remittance Advice</t>
  </si>
  <si>
    <t>Tax Invoice</t>
  </si>
  <si>
    <t>Maintenance</t>
  </si>
  <si>
    <t>$600.00</t>
  </si>
  <si>
    <t>C:\Users\Public\Documents\Invoice.pdf</t>
  </si>
  <si>
    <t>Option 1</t>
  </si>
  <si>
    <t>Vehicle General maintenance has been completed</t>
  </si>
  <si>
    <t>20 Aug 2026</t>
  </si>
  <si>
    <t>REQ-1653</t>
  </si>
  <si>
    <t>BTFWULH</t>
  </si>
  <si>
    <t>-</t>
  </si>
  <si>
    <t>ABDGO</t>
  </si>
  <si>
    <t>05 Jun 1995</t>
  </si>
  <si>
    <t>0469 000 000</t>
  </si>
  <si>
    <t>191799@omsrefresh.com</t>
  </si>
  <si>
    <t>david.cracknell@keyton.com.au.test</t>
  </si>
  <si>
    <t>OYMJACPWRXEVYPYGENMAU CARLTON NSW 2218</t>
  </si>
  <si>
    <t>34 Lookout Way, Tarneit VIC 3029</t>
  </si>
  <si>
    <t>AMP Capital Office and Industrial Pty Ltd</t>
  </si>
  <si>
    <t>FTV21M</t>
  </si>
  <si>
    <t>30 Aug 2029</t>
  </si>
  <si>
    <t>GVNMTQNAABTDB</t>
  </si>
  <si>
    <t>Inafune</t>
  </si>
  <si>
    <t>Commonwealth Bank of Australia</t>
  </si>
  <si>
    <t>012-512</t>
  </si>
  <si>
    <t>64632100</t>
  </si>
  <si>
    <t>Savings</t>
  </si>
  <si>
    <t>ORI-865-472-139-689</t>
  </si>
  <si>
    <t>44099105094</t>
  </si>
  <si>
    <t>C:\Automation\Test cases Novated App\Filestoupload\RemittanceAdvice.pdf</t>
  </si>
  <si>
    <t>C:\Users\Public\Documents\TaxInvoice.pdf</t>
  </si>
  <si>
    <t>${TC001.Claim Type}</t>
  </si>
  <si>
    <t>${TC001.Amount}</t>
  </si>
  <si>
    <t>${TC001.Amount ($)}</t>
  </si>
  <si>
    <t>${TC001.Proof of Payment}</t>
  </si>
  <si>
    <t>${TC001.Legal First Name}</t>
  </si>
  <si>
    <t>${TC001.Legal Middle Name}</t>
  </si>
  <si>
    <t>${TC001.Legal Last Name}</t>
  </si>
  <si>
    <t>${TC001.Driver Work Email}</t>
  </si>
  <si>
    <t>${TC001.Driver Postal Address}</t>
  </si>
  <si>
    <t>${TC001.Lease End Date}</t>
  </si>
  <si>
    <t>${TC001.Account Name}</t>
  </si>
  <si>
    <t>${TC001.Account Holder}</t>
  </si>
  <si>
    <t>${TC001.Bank Name}</t>
  </si>
  <si>
    <t>${TC001.BSB}</t>
  </si>
  <si>
    <t>${TC001.Account Number}</t>
  </si>
  <si>
    <t>${TC001.Account Type}</t>
  </si>
  <si>
    <t>ORI-966-720-769-297</t>
  </si>
  <si>
    <t>MAZDA CX-5 - FTV21M</t>
  </si>
  <si>
    <t>Toshihiko Inafune</t>
  </si>
  <si>
    <t>${TC001.Employer ABN}</t>
  </si>
  <si>
    <t>TC003</t>
  </si>
  <si>
    <t>${TC002.Request Ref Number}</t>
  </si>
  <si>
    <t>REQ-2923</t>
  </si>
  <si>
    <t>ORIX Motorpass</t>
  </si>
  <si>
    <t>Fuel Provider</t>
  </si>
  <si>
    <t>Latest Reading (kms)
21,000 km</t>
  </si>
  <si>
    <t>ARRJKJY</t>
  </si>
  <si>
    <t>OUJDSCU</t>
  </si>
  <si>
    <t>154043@omsrefresh.com</t>
  </si>
  <si>
    <t>QBE Management Services Pty Ltd</t>
  </si>
  <si>
    <t>92004800131</t>
  </si>
  <si>
    <t>NQZAHJCYITFZBUAOEVZ SURRY HILLS NSW 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</si>
</sst>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5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b/>
      <sz val="11"/>
      <color theme="1"/>
      <name val="Aptos Narrow"/>
      <family val="2"/>
      <scheme val="minor"/>
    </font>
    <font>
      <sz val="9"/>
      <color rgb="FF22191B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  <xf numFmtId="0" fontId="4" fillId="0" borderId="0" xfId="0" applyFont="1"/>
    <xf numFmtId="0" fontId="3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5"/>
  <sheetViews>
    <sheetView tabSelected="1" topLeftCell="AM1" workbookViewId="0">
      <selection activeCell="BG3" sqref="BG3"/>
    </sheetView>
  </sheetViews>
  <sheetFormatPr defaultColWidth="8.875" defaultRowHeight="13.5"/>
  <cols>
    <col min="1" max="1" customWidth="true" width="8.5"/>
    <col min="2" max="2" customWidth="true" width="20.7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0.75"/>
    <col min="24" max="24" customWidth="true" width="24.625"/>
    <col min="25" max="25" customWidth="true" width="29.75"/>
    <col min="26" max="27" customWidth="true" width="24.5"/>
    <col min="35" max="35" customWidth="true" width="21.625"/>
    <col min="37" max="37" customWidth="true" width="13.25"/>
    <col min="38" max="38" customWidth="true" width="15.125"/>
    <col min="39" max="39" customWidth="true" width="12.75"/>
    <col min="40" max="40" customWidth="true" width="15.5"/>
  </cols>
  <sheetData>
    <row r="1" spans="1:59" ht="54">
      <c r="A1" s="1" t="s">
        <v>0</v>
      </c>
      <c r="B1" s="1" t="s">
        <v>1</v>
      </c>
      <c r="C1" s="1" t="s">
        <v>2</v>
      </c>
      <c r="D1" s="1" t="s">
        <v>55</v>
      </c>
      <c r="E1" s="1" t="s">
        <v>56</v>
      </c>
      <c r="F1" s="1" t="s">
        <v>3</v>
      </c>
      <c r="G1" s="1" t="s">
        <v>4</v>
      </c>
      <c r="H1" s="1" t="s">
        <v>5</v>
      </c>
      <c r="I1" s="1" t="s">
        <v>57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58</v>
      </c>
      <c r="AB1" s="1" t="s">
        <v>59</v>
      </c>
      <c r="AC1" s="1" t="s">
        <v>60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61</v>
      </c>
      <c r="AI1" s="1" t="s">
        <v>62</v>
      </c>
      <c r="AJ1" s="1" t="s">
        <v>63</v>
      </c>
      <c r="AK1" s="1" t="s">
        <v>27</v>
      </c>
      <c r="AL1" s="1" t="s">
        <v>28</v>
      </c>
      <c r="AM1" s="1" t="s">
        <v>29</v>
      </c>
      <c r="AN1" s="1" t="s">
        <v>30</v>
      </c>
      <c r="AO1" s="1" t="s">
        <v>31</v>
      </c>
      <c r="AP1" s="1" t="s">
        <v>64</v>
      </c>
      <c r="AQ1" s="1" t="s">
        <v>65</v>
      </c>
      <c r="AR1" s="1" t="s">
        <v>66</v>
      </c>
      <c r="AS1" s="1" t="s">
        <v>67</v>
      </c>
      <c r="AT1" s="1" t="s">
        <v>68</v>
      </c>
      <c r="AU1" s="1" t="s">
        <v>69</v>
      </c>
      <c r="AV1" s="1" t="s">
        <v>70</v>
      </c>
      <c r="AW1" s="1" t="s">
        <v>28</v>
      </c>
      <c r="AX1" s="1" t="s">
        <v>29</v>
      </c>
      <c r="AY1" s="1" t="s">
        <v>30</v>
      </c>
      <c r="AZ1" s="1" t="s">
        <v>71</v>
      </c>
      <c r="BA1" s="1" t="s">
        <v>72</v>
      </c>
      <c r="BB1" s="1" t="s">
        <v>73</v>
      </c>
      <c r="BC1" s="1" t="s">
        <v>74</v>
      </c>
      <c r="BD1" s="1" t="s">
        <v>75</v>
      </c>
      <c r="BE1" s="1" t="s">
        <v>76</v>
      </c>
      <c r="BF1" s="1" t="s">
        <v>77</v>
      </c>
      <c r="BG1" s="7" t="s">
        <v>131</v>
      </c>
    </row>
    <row r="2" spans="1:59" ht="121.5">
      <c r="A2" s="2" t="s">
        <v>32</v>
      </c>
      <c r="B2" s="2" t="s">
        <v>33</v>
      </c>
      <c r="C2" s="2" t="s">
        <v>132</v>
      </c>
      <c r="D2" s="3" t="str">
        <f>SUBSTITUTE(C2,"Latest Reading (kms)","")</f>
        <v xml:space="preserve">
21,000 km</v>
      </c>
      <c r="E2" s="3" t="str">
        <f>SUBSTITUTE(SUBSTITUTE(SUBSTITUTE(SUBSTITUTE(CLEAN(D2),"km",""),",","")," ",""),CHAR(160),"")</f>
        <v>21000</v>
      </c>
      <c r="F2" s="3" t="n">
        <f>E2+1</f>
        <v>21001.0</v>
      </c>
      <c r="G2" s="3" t="n">
        <f>F2</f>
        <v>21001.0</v>
      </c>
      <c r="H2" s="2" t="s">
        <v>78</v>
      </c>
      <c r="I2" s="2">
        <v>600</v>
      </c>
      <c r="J2" s="2" t="s">
        <v>79</v>
      </c>
      <c r="K2" s="2" t="s">
        <v>80</v>
      </c>
      <c r="L2" s="2" t="s">
        <v>81</v>
      </c>
      <c r="M2" s="2" t="s">
        <v>82</v>
      </c>
      <c r="N2" s="2" t="s">
        <v>34</v>
      </c>
      <c r="O2" s="2" t="s">
        <v>34</v>
      </c>
      <c r="P2" s="2" t="s">
        <v>34</v>
      </c>
      <c r="Q2" s="2" t="s">
        <v>34</v>
      </c>
      <c r="R2" s="2" t="s">
        <v>34</v>
      </c>
      <c r="S2" s="2" t="s">
        <v>34</v>
      </c>
      <c r="T2" s="2" t="s">
        <v>34</v>
      </c>
      <c r="U2" s="2" t="s">
        <v>34</v>
      </c>
      <c r="V2" s="2" t="s">
        <v>83</v>
      </c>
      <c r="W2" s="2" t="s">
        <v>83</v>
      </c>
      <c r="X2" s="2" t="s">
        <v>84</v>
      </c>
      <c r="Y2" s="4" t="str">
        <f>TEXT(G2,"#,##0")&amp;" km"</f>
        <v>21,001 km</v>
      </c>
      <c r="Z2" s="4" t="s">
        <v>86</v>
      </c>
      <c r="AA2" s="4" t="s">
        <v>133</v>
      </c>
      <c r="AB2" s="4" t="s">
        <v>86</v>
      </c>
      <c r="AC2" s="4" t="s">
        <v>134</v>
      </c>
      <c r="AD2" s="4" t="str">
        <f>_xlfn.CONCAT(AA2," ",AC2)</f>
        <v>ARRJKJY OUJDSCU</v>
      </c>
      <c r="AE2" s="4" t="s">
        <v>88</v>
      </c>
      <c r="AF2" s="4" t="s">
        <v>89</v>
      </c>
      <c r="AG2" s="4" t="s">
        <v>135</v>
      </c>
      <c r="AH2" s="4" t="s">
        <v>91</v>
      </c>
      <c r="AI2" s="4" t="s">
        <v>138</v>
      </c>
      <c r="AJ2" s="4" t="s">
        <v>93</v>
      </c>
      <c r="AK2" s="4" t="s">
        <v>136</v>
      </c>
      <c r="AL2" s="4" t="str">
        <f>AN2&amp;" - "&amp;AM2</f>
        <v>MAZDA CX-5 - FTV21M</v>
      </c>
      <c r="AM2" s="4" t="s">
        <v>95</v>
      </c>
      <c r="AN2" s="4" t="s">
        <v>36</v>
      </c>
      <c r="AO2" s="4" t="s">
        <v>96</v>
      </c>
      <c r="AP2" s="4" t="s">
        <v>97</v>
      </c>
      <c r="AQ2" s="4" t="s">
        <v>98</v>
      </c>
      <c r="AR2" s="4" t="s">
        <v>99</v>
      </c>
      <c r="AS2" s="4" t="s">
        <v>100</v>
      </c>
      <c r="AT2" s="4" t="s">
        <v>101</v>
      </c>
      <c r="AU2" s="4" t="s">
        <v>102</v>
      </c>
      <c r="AV2" s="4" t="s">
        <v>103</v>
      </c>
      <c r="AW2" s="4"/>
      <c r="AX2" s="4" t="s">
        <v>95</v>
      </c>
      <c r="AY2" s="4" t="s">
        <v>36</v>
      </c>
      <c r="AZ2" s="4"/>
      <c r="BA2" s="4"/>
      <c r="BB2" s="4" t="s">
        <v>80</v>
      </c>
      <c r="BC2" s="4" t="s">
        <v>137</v>
      </c>
      <c r="BD2" s="4"/>
      <c r="BE2" s="4" t="s">
        <v>105</v>
      </c>
      <c r="BF2" s="4" t="s">
        <v>106</v>
      </c>
      <c r="BG2" s="6" t="s">
        <v>130</v>
      </c>
    </row>
    <row r="3" spans="1:59" ht="121.5">
      <c r="A3" s="2" t="s">
        <v>37</v>
      </c>
      <c r="B3" s="2" t="s">
        <v>33</v>
      </c>
      <c r="C3" s="2" t="s">
        <v>38</v>
      </c>
      <c r="D3" s="2"/>
      <c r="E3" s="2"/>
      <c r="F3" s="2"/>
      <c r="G3" s="2" t="s">
        <v>39</v>
      </c>
      <c r="H3" s="2" t="s">
        <v>107</v>
      </c>
      <c r="I3" s="2" t="s">
        <v>108</v>
      </c>
      <c r="J3" s="2" t="s">
        <v>109</v>
      </c>
      <c r="K3" s="2" t="s">
        <v>110</v>
      </c>
      <c r="L3" s="2" t="s">
        <v>81</v>
      </c>
      <c r="M3" s="2" t="s">
        <v>82</v>
      </c>
      <c r="N3" s="2" t="s">
        <v>34</v>
      </c>
      <c r="O3" s="2" t="s">
        <v>34</v>
      </c>
      <c r="P3" s="2" t="s">
        <v>34</v>
      </c>
      <c r="Q3" s="2" t="s">
        <v>34</v>
      </c>
      <c r="R3" s="2" t="s">
        <v>34</v>
      </c>
      <c r="S3" s="2" t="s">
        <v>34</v>
      </c>
      <c r="T3" s="2" t="s">
        <v>34</v>
      </c>
      <c r="U3" s="2" t="s">
        <v>34</v>
      </c>
      <c r="V3" s="2" t="s">
        <v>40</v>
      </c>
      <c r="W3" s="2" t="s">
        <v>41</v>
      </c>
      <c r="X3" s="2" t="s">
        <v>42</v>
      </c>
      <c r="Y3" s="2" t="s">
        <v>43</v>
      </c>
      <c r="Z3" s="2" t="s">
        <v>44</v>
      </c>
      <c r="AA3" s="2" t="s">
        <v>111</v>
      </c>
      <c r="AB3" s="2" t="s">
        <v>112</v>
      </c>
      <c r="AC3" s="2" t="s">
        <v>113</v>
      </c>
      <c r="AD3" s="2" t="s">
        <v>45</v>
      </c>
      <c r="AE3" s="2" t="s">
        <v>46</v>
      </c>
      <c r="AF3" s="2" t="s">
        <v>47</v>
      </c>
      <c r="AG3" s="2" t="s">
        <v>48</v>
      </c>
      <c r="AH3" s="2" t="s">
        <v>114</v>
      </c>
      <c r="AI3" s="2" t="s">
        <v>49</v>
      </c>
      <c r="AJ3" s="2" t="s">
        <v>115</v>
      </c>
      <c r="AK3" s="2" t="s">
        <v>50</v>
      </c>
      <c r="AL3" s="2" t="s">
        <v>51</v>
      </c>
      <c r="AM3" s="2" t="s">
        <v>52</v>
      </c>
      <c r="AN3" s="2" t="s">
        <v>53</v>
      </c>
      <c r="AO3" s="2" t="s">
        <v>116</v>
      </c>
      <c r="AP3" s="2" t="s">
        <v>117</v>
      </c>
      <c r="AQ3" s="2" t="s">
        <v>118</v>
      </c>
      <c r="AR3" s="2" t="s">
        <v>119</v>
      </c>
      <c r="AS3" s="2" t="s">
        <v>120</v>
      </c>
      <c r="AT3" s="2" t="s">
        <v>121</v>
      </c>
      <c r="AU3" s="2" t="s">
        <v>122</v>
      </c>
      <c r="AV3" s="2" t="s">
        <v>123</v>
      </c>
      <c r="AW3" s="2" t="s">
        <v>124</v>
      </c>
      <c r="AX3" s="2" t="s">
        <v>52</v>
      </c>
      <c r="AY3" s="2" t="s">
        <v>53</v>
      </c>
      <c r="AZ3" s="2" t="s">
        <v>125</v>
      </c>
      <c r="BA3" s="2" t="s">
        <v>125</v>
      </c>
      <c r="BB3" s="4" t="s">
        <v>80</v>
      </c>
      <c r="BC3" s="2" t="s">
        <v>126</v>
      </c>
      <c r="BD3" s="2"/>
      <c r="BE3" s="2" t="s">
        <v>105</v>
      </c>
      <c r="BF3" s="4" t="s">
        <v>106</v>
      </c>
      <c r="BG3" s="6" t="s">
        <v>130</v>
      </c>
    </row>
    <row r="4" spans="1:59" ht="67.5">
      <c r="A4" s="2" t="s">
        <v>127</v>
      </c>
      <c r="B4" s="2" t="s">
        <v>33</v>
      </c>
      <c r="C4" s="2" t="s">
        <v>38</v>
      </c>
      <c r="D4" s="2"/>
      <c r="E4" s="2"/>
      <c r="F4" s="2"/>
      <c r="G4" s="2" t="s">
        <v>39</v>
      </c>
      <c r="H4" s="2" t="s">
        <v>107</v>
      </c>
      <c r="I4" s="2" t="s">
        <v>108</v>
      </c>
      <c r="J4" s="2" t="s">
        <v>109</v>
      </c>
      <c r="K4" s="2" t="s">
        <v>110</v>
      </c>
      <c r="L4" s="2" t="s">
        <v>81</v>
      </c>
      <c r="M4" s="2" t="s">
        <v>82</v>
      </c>
      <c r="N4" s="2" t="s">
        <v>34</v>
      </c>
      <c r="O4" s="2" t="s">
        <v>34</v>
      </c>
      <c r="P4" s="2" t="s">
        <v>34</v>
      </c>
      <c r="Q4" s="2" t="s">
        <v>34</v>
      </c>
      <c r="R4" s="2" t="s">
        <v>34</v>
      </c>
      <c r="S4" s="2" t="s">
        <v>34</v>
      </c>
      <c r="T4" s="2" t="s">
        <v>34</v>
      </c>
      <c r="U4" s="2" t="s">
        <v>34</v>
      </c>
      <c r="V4" s="2" t="s">
        <v>40</v>
      </c>
      <c r="W4" s="2" t="s">
        <v>41</v>
      </c>
      <c r="X4" s="2" t="s">
        <v>42</v>
      </c>
      <c r="Y4" s="2" t="s">
        <v>43</v>
      </c>
      <c r="Z4" s="2" t="s">
        <v>44</v>
      </c>
      <c r="AA4" s="2" t="s">
        <v>111</v>
      </c>
      <c r="AB4" s="2" t="s">
        <v>112</v>
      </c>
      <c r="AC4" s="2" t="s">
        <v>113</v>
      </c>
      <c r="AD4" s="2" t="s">
        <v>45</v>
      </c>
      <c r="AE4" s="2" t="s">
        <v>46</v>
      </c>
      <c r="AF4" s="2" t="s">
        <v>47</v>
      </c>
      <c r="AG4" s="2" t="s">
        <v>48</v>
      </c>
      <c r="AH4" s="2" t="s">
        <v>114</v>
      </c>
      <c r="AI4" s="2" t="s">
        <v>49</v>
      </c>
      <c r="AJ4" s="2" t="s">
        <v>115</v>
      </c>
      <c r="AK4" s="2" t="s">
        <v>50</v>
      </c>
      <c r="AL4" s="2" t="s">
        <v>51</v>
      </c>
      <c r="AM4" s="2" t="s">
        <v>52</v>
      </c>
      <c r="AN4" s="2" t="s">
        <v>53</v>
      </c>
      <c r="AO4" s="2" t="s">
        <v>116</v>
      </c>
      <c r="AP4" s="2" t="s">
        <v>117</v>
      </c>
      <c r="AQ4" s="2" t="s">
        <v>118</v>
      </c>
      <c r="AR4" s="2" t="s">
        <v>119</v>
      </c>
      <c r="AS4" s="2" t="s">
        <v>120</v>
      </c>
      <c r="AT4" s="2" t="s">
        <v>121</v>
      </c>
      <c r="AU4" s="2" t="s">
        <v>122</v>
      </c>
      <c r="AV4" s="2" t="s">
        <v>128</v>
      </c>
      <c r="AW4" s="2" t="s">
        <v>124</v>
      </c>
      <c r="AX4" s="2" t="s">
        <v>52</v>
      </c>
      <c r="AY4" s="2" t="s">
        <v>53</v>
      </c>
      <c r="AZ4" s="2" t="s">
        <v>125</v>
      </c>
      <c r="BA4" s="2" t="s">
        <v>125</v>
      </c>
      <c r="BB4" s="4" t="s">
        <v>80</v>
      </c>
      <c r="BC4" s="2" t="s">
        <v>126</v>
      </c>
      <c r="BD4" s="2" t="s">
        <v>129</v>
      </c>
      <c r="BE4" s="2"/>
      <c r="BF4" s="4" t="s">
        <v>106</v>
      </c>
    </row>
    <row r="5" spans="1:59" ht="14.25">
      <c r="U5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2026-09-12T06:59:22Z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