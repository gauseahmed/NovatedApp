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<sst xmlns="http://schemas.openxmlformats.org/spreadsheetml/2006/main" count="110" uniqueCount="85">
  <si>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</si>
  <si>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</si>
  <si>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</si>
  <si>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</si>
  <si>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</si>
  <si>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</si>
  <si>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</si>
  <si>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</si>
  <si>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</si>
  <si>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</si>
  <si>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</si>
  <si>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</si>
  <si>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</si>
  <si>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</si>
  <si>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</si>
  <si>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</si>
  <si>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</si>
  <si>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</si>
  <si>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</si>
  <si>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</si>
  <si>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</si>
  <si>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</si>
  <si>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</si>
  <si>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</si>
  <si>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</si>
  <si>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</si>
  <si>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</si>
  <si>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</si>
  <si>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</si>
  <si>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</si>
  <si>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</si>
  <si>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</si>
  <si>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</si>
  <si>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</si>
  <si>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</si>
  <si>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</si>
  <si>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</si>
  <si>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</si>
  <si>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</si>
  <si>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</si>
  <si>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</si>
  <si>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Fuel Card</t>
  </si>
  <si>
    <t>52339</t>
  </si>
  <si>
    <t>N/A</t>
  </si>
  <si>
    <t>REQ-734</t>
  </si>
  <si>
    <t>ORIX Motorpass</t>
  </si>
  <si>
    <t>Delivery Address *</t>
  </si>
  <si>
    <t>19 May 2026 08:42 PM</t>
  </si>
  <si>
    <t>New Fuel Card</t>
  </si>
  <si>
    <t>Mr</t>
  </si>
  <si>
    <t>Neil</t>
  </si>
  <si>
    <t>Jones</t>
  </si>
  <si>
    <t>01/06/2000</t>
  </si>
  <si>
    <t>0400123146</t>
  </si>
  <si>
    <t>1 Sydney St, Mogo NSW 2536</t>
  </si>
  <si>
    <t>Guild Insurance Ltd</t>
  </si>
  <si>
    <t>YKQ26Y</t>
  </si>
  <si>
    <t>MAZDA CX-5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</si>
  <si>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</si>
  <si>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</si>
  <si>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</si>
  <si>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</si>
  <si>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</si>
  <si>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</si>
  <si>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</si>
  <si>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</si>
  <si>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</si>
  <si>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</si>
  <si>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</si>
  <si>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</si>
  <si>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</si>
  <si>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</si>
  <si>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</si>
  <si>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</si>
  <si>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</si>
  <si>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</si>
  <si>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</si>
  <si>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</si>
  <si>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</si>
  <si>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</si>
  <si>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</si>
  <si>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</si>
  <si>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</si>
  <si>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neil.jones@exxonmobil.com.test</t>
  </si>
  <si>
    <t>Your Residential Address 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</si>
</sst>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"/>
  <sheetViews>
    <sheetView tabSelected="1" topLeftCell="Z1" workbookViewId="0">
      <selection activeCell="AH2" sqref="AH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  <col min="35" max="35" customWidth="true" width="21.6"/>
    <col min="37" max="37" customWidth="true" width="13.2"/>
    <col min="38" max="38" customWidth="true" width="15.1"/>
    <col min="39" max="39" customWidth="true" width="12.8"/>
    <col min="40" max="40" customWidth="true" width="15.5"/>
  </cols>
  <sheetData>
    <row r="1" s="1" customFormat="1" ht="41.4" spans="1:4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</row>
    <row r="2" s="2" customFormat="1" ht="41.4" spans="1:40">
      <c r="A2" s="4" t="s">
        <v>40</v>
      </c>
      <c r="B2" s="4" t="s">
        <v>41</v>
      </c>
      <c r="C2" s="5" t="s">
        <v>42</v>
      </c>
      <c r="D2" s="6" t="n">
        <f>C2+1</f>
        <v>52340.0</v>
      </c>
      <c r="E2" s="6" t="n">
        <f>D2</f>
        <v>52340.0</v>
      </c>
      <c r="F2" s="4"/>
      <c r="G2" s="4"/>
      <c r="H2" s="4"/>
      <c r="I2" s="4" t="s">
        <v>43</v>
      </c>
      <c r="J2" s="4" t="s">
        <v>43</v>
      </c>
      <c r="K2" s="4" t="s">
        <v>43</v>
      </c>
      <c r="L2" s="4" t="s">
        <v>43</v>
      </c>
      <c r="M2" s="4" t="s">
        <v>43</v>
      </c>
      <c r="N2" s="4" t="s">
        <v>43</v>
      </c>
      <c r="O2" s="4" t="s">
        <v>43</v>
      </c>
      <c r="P2" s="4" t="s">
        <v>43</v>
      </c>
      <c r="Q2" s="4" t="s">
        <v>43</v>
      </c>
      <c r="R2" s="4"/>
      <c r="S2" s="4"/>
      <c r="T2" s="4"/>
      <c r="U2" s="4" t="s">
        <v>44</v>
      </c>
      <c r="V2" s="7" t="str">
        <f>TEXT(E2,"#,##0")&amp;" km"</f>
        <v>52,340 km</v>
      </c>
      <c r="W2" s="7" t="s">
        <v>45</v>
      </c>
      <c r="X2" s="7" t="s">
        <v>46</v>
      </c>
      <c r="Y2" s="7" t="s">
        <v>47</v>
      </c>
      <c r="Z2" s="7" t="s">
        <v>47</v>
      </c>
      <c r="AA2" s="7" t="s">
        <v>48</v>
      </c>
      <c r="AB2" s="7" t="s">
        <v>49</v>
      </c>
      <c r="AC2" s="7" t="s">
        <v>50</v>
      </c>
      <c r="AD2" s="7" t="s">
        <v>51</v>
      </c>
      <c r="AE2" s="7" t="str">
        <f>_xlfn.CONCAT(AC2," ",AD2)</f>
        <v>Neil Jones</v>
      </c>
      <c r="AF2" s="7" t="s">
        <v>52</v>
      </c>
      <c r="AG2" s="7" t="s">
        <v>53</v>
      </c>
      <c r="AH2" s="7" t="s">
        <v>83</v>
      </c>
      <c r="AI2" s="7" t="s">
        <v>84</v>
      </c>
      <c r="AJ2" s="7" t="s">
        <v>55</v>
      </c>
      <c r="AK2" s="7" t="str">
        <f>AM2&amp;" - "&amp;AL2</f>
        <v>MAZDA CX-5 - YKQ26Y</v>
      </c>
      <c r="AL2" s="7" t="s">
        <v>56</v>
      </c>
      <c r="AM2" s="7" t="s">
        <v>57</v>
      </c>
      <c r="AN2" s="7" t="s">
        <v>58</v>
      </c>
    </row>
    <row r="3" s="2" customFormat="1" ht="82.8" spans="1:40">
      <c r="A3" s="4" t="s">
        <v>59</v>
      </c>
      <c r="B3" s="4" t="s">
        <v>41</v>
      </c>
      <c r="C3" s="4" t="s">
        <v>60</v>
      </c>
      <c r="D3" s="4"/>
      <c r="E3" s="4" t="s">
        <v>61</v>
      </c>
      <c r="F3" s="4"/>
      <c r="G3" s="4"/>
      <c r="H3" s="4"/>
      <c r="I3" s="4" t="s">
        <v>43</v>
      </c>
      <c r="J3" s="4" t="s">
        <v>43</v>
      </c>
      <c r="K3" s="4" t="s">
        <v>43</v>
      </c>
      <c r="L3" s="4" t="s">
        <v>43</v>
      </c>
      <c r="M3" s="4" t="s">
        <v>43</v>
      </c>
      <c r="N3" s="4" t="s">
        <v>43</v>
      </c>
      <c r="O3" s="4" t="s">
        <v>43</v>
      </c>
      <c r="P3" s="4" t="s">
        <v>43</v>
      </c>
      <c r="Q3" s="4" t="s">
        <v>43</v>
      </c>
      <c r="R3" s="4" t="s">
        <v>43</v>
      </c>
      <c r="S3" s="4" t="s">
        <v>62</v>
      </c>
      <c r="T3" s="4" t="s">
        <v>63</v>
      </c>
      <c r="U3" s="4" t="s">
        <v>64</v>
      </c>
      <c r="V3" s="4" t="s">
        <v>65</v>
      </c>
      <c r="W3" s="4" t="s">
        <v>66</v>
      </c>
      <c r="X3" s="4" t="s">
        <v>67</v>
      </c>
      <c r="Y3" s="4" t="s">
        <v>68</v>
      </c>
      <c r="Z3" s="4" t="s">
        <v>69</v>
      </c>
      <c r="AA3" s="4" t="s">
        <v>70</v>
      </c>
      <c r="AB3" s="4" t="s">
        <v>71</v>
      </c>
      <c r="AC3" s="4" t="s">
        <v>72</v>
      </c>
      <c r="AD3" s="4" t="s">
        <v>73</v>
      </c>
      <c r="AE3" s="4" t="s">
        <v>74</v>
      </c>
      <c r="AF3" s="4" t="s">
        <v>75</v>
      </c>
      <c r="AG3" s="4" t="s">
        <v>76</v>
      </c>
      <c r="AH3" s="4" t="s">
        <v>77</v>
      </c>
      <c r="AI3" s="4" t="s">
        <v>78</v>
      </c>
      <c r="AJ3" s="4" t="s">
        <v>79</v>
      </c>
      <c r="AK3" s="4" t="s">
        <v>80</v>
      </c>
      <c r="AL3" s="4" t="s">
        <v>81</v>
      </c>
      <c r="AM3" s="4" t="s">
        <v>82</v>
      </c>
      <c r="AN3" s="4"/>
    </row>
    <row r="5" spans="1:40">
      <c r="E5" s="8"/>
    </row>
    <row r="10" spans="1:40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2026-05-25T05:26:22Z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