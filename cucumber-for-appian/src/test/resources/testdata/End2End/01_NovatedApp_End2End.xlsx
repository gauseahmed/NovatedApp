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hana\IdeaProjects\NovatedApp\cucumber-for-appian\src\test\resources\testdata\End2End\"/>
    </mc:Choice>
  </mc:AlternateContent>
  <xr:revisionPtr revIDLastSave="0" documentId="13_ncr:1_{C8CE1EA6-78C7-4DE4-89D7-0FEED10D8A31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F2" i="14"/>
  <c r="AL2" i="14"/>
  <c r="AD2" i="14"/>
  <c r="G2" i="14" l="1"/>
  <c r="Y2" i="14" s="1"/>
</calcChain>
</file>

<file path=xl/sharedStrings.xml><?xml version="1.0" encoding="utf-8"?>
<sst xmlns="http://schemas.openxmlformats.org/spreadsheetml/2006/main" count="183" uniqueCount="112">
  <si>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</si>
  <si>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</si>
  <si>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</si>
  <si>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</si>
  <si>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</si>
  <si>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</si>
  <si>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</si>
  <si>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</si>
  <si>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</si>
  <si>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</si>
  <si>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</si>
  <si>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</si>
  <si>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</si>
  <si>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</si>
  <si>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</si>
  <si>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</si>
  <si>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</si>
  <si>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</si>
  <si>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</si>
  <si>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</si>
  <si>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</si>
  <si>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</si>
  <si>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Driver Salutation</t>
  </si>
  <si>
    <t>Driver Name</t>
  </si>
  <si>
    <t>Driver Date of Birth</t>
  </si>
  <si>
    <t>Driver Mobile Phone</t>
  </si>
  <si>
    <t>Driver Email</t>
  </si>
  <si>
    <t>Driver Employer Name</t>
  </si>
  <si>
    <t>Vehicle</t>
  </si>
  <si>
    <t>Vehicle number</t>
  </si>
  <si>
    <t>Vehicle name</t>
  </si>
  <si>
    <t>Lease End Date</t>
  </si>
  <si>
    <t>TC001</t>
  </si>
  <si>
    <t>Reimbursement Claim</t>
  </si>
  <si>
    <t>Fuel</t>
  </si>
  <si>
    <t>N/A</t>
  </si>
  <si>
    <t>Mr</t>
  </si>
  <si>
    <t>Toshihiko</t>
  </si>
  <si>
    <t>Inafune</t>
  </si>
  <si>
    <t>05 Jun 1995</t>
  </si>
  <si>
    <t>0469750861</t>
  </si>
  <si>
    <t>inafune@jfcaust.com.au.test</t>
  </si>
  <si>
    <t>JFC Australia Co Pty Ltd</t>
  </si>
  <si>
    <t>FTV21M</t>
  </si>
  <si>
    <t>MAZDA CX-5</t>
  </si>
  <si>
    <t>30 Aug 2029</t>
  </si>
  <si>
    <t>TC002</t>
  </si>
  <si>
    <t>${TC001.Last Odometer Reading}</t>
  </si>
  <si>
    <t>${TC001.New Odometer}</t>
  </si>
  <si>
    <t>${TC001.Claim Type}</t>
  </si>
  <si>
    <t>${TC001.Amount ($)}</t>
  </si>
  <si>
    <t>${TC001.Proof of Payment}</t>
  </si>
  <si>
    <t>${TC001.Reading Date}</t>
  </si>
  <si>
    <t>${TC001.Last Reading Date}</t>
  </si>
  <si>
    <t>${TC001.Reference Number}</t>
  </si>
  <si>
    <t>${TC001.Odometer}</t>
  </si>
  <si>
    <t>${TC001.Driver Salutation}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</si>
  <si>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</si>
  <si>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</si>
  <si>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</si>
  <si>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</si>
  <si>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</si>
  <si>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</si>
  <si>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</si>
  <si>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</si>
  <si>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</si>
  <si>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</si>
  <si>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20 Aug 2026</t>
  </si>
  <si>
    <t>REQ-1653</t>
  </si>
  <si>
    <t>24 Aug 2026</t>
  </si>
  <si>
    <t>Legal Middle Name</t>
  </si>
  <si>
    <t>Legal First Name</t>
  </si>
  <si>
    <t>Legal Last Name</t>
  </si>
  <si>
    <t>Driver Work Email</t>
  </si>
  <si>
    <t>Driver Residential Address</t>
  </si>
  <si>
    <t>Driver Postal Address</t>
  </si>
  <si>
    <t>${TC001.Driver Work Email}</t>
  </si>
  <si>
    <t>${TC001.Legal Last Name}</t>
  </si>
  <si>
    <t>${TC001.Legal First Name}</t>
  </si>
  <si>
    <t>${TC001.Legal Middle Name}</t>
  </si>
  <si>
    <t>${TC001.Driver Postal Address}</t>
  </si>
  <si>
    <t>Account Name</t>
  </si>
  <si>
    <t>Account Holder</t>
  </si>
  <si>
    <t>Bank Name</t>
  </si>
  <si>
    <t>BSB</t>
  </si>
  <si>
    <t>Account Number</t>
  </si>
  <si>
    <t>Account Type</t>
  </si>
  <si>
    <t>${TC001.Account Name}</t>
  </si>
  <si>
    <t>${TC001.Account Holder}</t>
  </si>
  <si>
    <t>${TC001.Bank Name}</t>
  </si>
  <si>
    <t>${TC001.BSB}</t>
  </si>
  <si>
    <t>${TC001.Account Number}</t>
  </si>
  <si>
    <t>${TC001.Account Type}</t>
  </si>
  <si>
    <t>-</t>
  </si>
  <si>
    <t>david.cracknell@keyton.com.au.test</t>
  </si>
  <si>
    <t>21 Parramatta Walk, Craigieburn VIC 3064</t>
  </si>
  <si>
    <t>C:\Users\Public\Documents\Invoice.pdf</t>
  </si>
  <si>
    <t>Last Odometer Reading without Km</t>
  </si>
  <si>
    <t>Latest Reading (kms)
8,095 km</t>
  </si>
  <si>
    <t>34 Lookout Way, Tarneit VIC 3029</t>
  </si>
  <si>
    <t>Request Ref Number</t>
  </si>
  <si>
    <t>TC003</t>
  </si>
  <si>
    <t>${TC002.Request Ref Number}</t>
  </si>
  <si>
    <t>MAZDA CX-5 - FTV21M</t>
  </si>
  <si>
    <t>$400.00</t>
  </si>
  <si>
    <t>Submitted By</t>
  </si>
  <si>
    <t>Toshihiko Inafune</t>
  </si>
  <si>
    <t>Updated By</t>
  </si>
  <si>
    <t>ORI-865-472-139-689</t>
  </si>
  <si>
    <t>Last Odometer Reading with km</t>
  </si>
  <si>
    <t xml:space="preserve">Amount </t>
  </si>
  <si>
    <t>${TC001.Amount}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</si>
</sst>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sz val="8"/>
      <name val="Aptos Narrow"/>
      <charset val="134"/>
      <scheme val="minor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3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"/>
  <sheetViews>
    <sheetView tabSelected="1" workbookViewId="0">
      <selection activeCell="I4" sqref="I4"/>
    </sheetView>
  </sheetViews>
  <sheetFormatPr defaultColWidth="8.875" defaultRowHeight="13.5"/>
  <cols>
    <col min="1" max="1" width="6.75" bestFit="1" customWidth="1"/>
    <col min="2" max="2" width="20.125" bestFit="1" customWidth="1"/>
    <col min="3" max="3" width="22.25" bestFit="1" customWidth="1"/>
    <col min="4" max="4" width="22.25" customWidth="1"/>
    <col min="5" max="5" width="21.75" bestFit="1" customWidth="1"/>
    <col min="6" max="6" width="19.375" bestFit="1" customWidth="1"/>
    <col min="7" max="7" width="22.25" bestFit="1" customWidth="1"/>
    <col min="8" max="8" width="14" bestFit="1" customWidth="1"/>
    <col min="9" max="9" width="15" bestFit="1" customWidth="1"/>
    <col min="10" max="10" width="15" customWidth="1"/>
    <col min="11" max="11" width="21.25" bestFit="1" customWidth="1"/>
    <col min="12" max="12" width="11.25" bestFit="1" customWidth="1"/>
    <col min="13" max="13" width="21.75" bestFit="1" customWidth="1"/>
    <col min="14" max="14" width="15.875" bestFit="1" customWidth="1"/>
    <col min="15" max="15" width="14.75" bestFit="1" customWidth="1"/>
    <col min="16" max="16" width="19.375" bestFit="1" customWidth="1"/>
    <col min="17" max="17" width="11.25" bestFit="1" customWidth="1"/>
    <col min="18" max="18" width="13.625" bestFit="1" customWidth="1"/>
    <col min="19" max="19" width="14.75" bestFit="1" customWidth="1"/>
    <col min="20" max="20" width="13.625" bestFit="1" customWidth="1"/>
    <col min="21" max="21" width="14.75" bestFit="1" customWidth="1"/>
    <col min="22" max="22" width="16" bestFit="1" customWidth="1"/>
    <col min="23" max="23" width="14.75" bestFit="1" customWidth="1"/>
    <col min="24" max="25" width="18.125" bestFit="1" customWidth="1"/>
    <col min="26" max="26" width="15" bestFit="1" customWidth="1"/>
    <col min="27" max="27" width="14" bestFit="1" customWidth="1"/>
    <col min="28" max="28" width="14.75" bestFit="1" customWidth="1"/>
    <col min="29" max="29" width="19.125" customWidth="1"/>
    <col min="30" max="30" width="18.125" bestFit="1" customWidth="1"/>
    <col min="31" max="31" width="17" bestFit="1" customWidth="1"/>
    <col min="32" max="32" width="15.875" bestFit="1" customWidth="1"/>
    <col min="33" max="34" width="19.125" customWidth="1"/>
    <col min="35" max="35" width="18.125" bestFit="1" customWidth="1"/>
    <col min="36" max="36" width="17.125" bestFit="1" customWidth="1"/>
    <col min="37" max="37" width="18.25" bestFit="1" customWidth="1"/>
    <col min="38" max="38" width="20.125" bestFit="1" customWidth="1"/>
    <col min="39" max="39" width="15" bestFit="1" customWidth="1"/>
    <col min="40" max="40" width="11.875" bestFit="1" customWidth="1"/>
    <col min="41" max="41" width="14" bestFit="1" customWidth="1"/>
    <col min="46" max="46" width="12.625" customWidth="1"/>
    <col min="47" max="47" width="13.5" customWidth="1"/>
    <col min="48" max="48" width="22" customWidth="1"/>
    <col min="49" max="49" width="16.625" customWidth="1"/>
    <col min="50" max="50" width="19.375" customWidth="1"/>
    <col min="51" max="51" width="21.375" customWidth="1"/>
  </cols>
  <sheetData>
    <row r="1" spans="1:51" s="1" customFormat="1" ht="40.5">
      <c r="A1" s="3" t="s">
        <v>0</v>
      </c>
      <c r="B1" s="3" t="s">
        <v>1</v>
      </c>
      <c r="C1" s="3" t="s">
        <v>2</v>
      </c>
      <c r="D1" s="3" t="s">
        <v>109</v>
      </c>
      <c r="E1" s="3" t="s">
        <v>97</v>
      </c>
      <c r="F1" s="3" t="s">
        <v>3</v>
      </c>
      <c r="G1" s="3" t="s">
        <v>4</v>
      </c>
      <c r="H1" s="3" t="s">
        <v>5</v>
      </c>
      <c r="I1" s="3" t="s">
        <v>110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71</v>
      </c>
      <c r="AB1" s="3" t="s">
        <v>70</v>
      </c>
      <c r="AC1" s="3" t="s">
        <v>72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73</v>
      </c>
      <c r="AI1" s="3" t="s">
        <v>74</v>
      </c>
      <c r="AJ1" s="3" t="s">
        <v>75</v>
      </c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81</v>
      </c>
      <c r="AQ1" s="3" t="s">
        <v>82</v>
      </c>
      <c r="AR1" s="3" t="s">
        <v>83</v>
      </c>
      <c r="AS1" s="3" t="s">
        <v>84</v>
      </c>
      <c r="AT1" s="3" t="s">
        <v>85</v>
      </c>
      <c r="AU1" s="3" t="s">
        <v>86</v>
      </c>
      <c r="AV1" s="3" t="s">
        <v>100</v>
      </c>
      <c r="AW1" s="3" t="s">
        <v>28</v>
      </c>
      <c r="AX1" s="3" t="s">
        <v>105</v>
      </c>
      <c r="AY1" s="3" t="s">
        <v>107</v>
      </c>
    </row>
    <row r="2" spans="1:51" s="2" customFormat="1" ht="40.5">
      <c r="A2" s="4" t="s">
        <v>32</v>
      </c>
      <c r="B2" s="4" t="s">
        <v>33</v>
      </c>
      <c r="C2" s="4" t="s">
        <v>98</v>
      </c>
      <c r="D2" s="5" t="str">
        <f>SUBSTITUTE(C2,"Latest Reading (kms)","")</f>
        <v xml:space="preserve">
8,095 km</v>
      </c>
      <c r="E2" s="5">
        <v>8095</v>
      </c>
      <c r="F2" s="5">
        <f>E2+1</f>
        <v>8096</v>
      </c>
      <c r="G2" s="5">
        <f>F2</f>
        <v>8096</v>
      </c>
      <c r="H2" s="4" t="s">
        <v>34</v>
      </c>
      <c r="I2" s="9">
        <v>400</v>
      </c>
      <c r="J2" s="9" t="s">
        <v>104</v>
      </c>
      <c r="K2" s="4" t="s">
        <v>96</v>
      </c>
      <c r="L2" s="4" t="s">
        <v>35</v>
      </c>
      <c r="M2" s="4" t="s">
        <v>35</v>
      </c>
      <c r="N2" s="4" t="s">
        <v>35</v>
      </c>
      <c r="O2" s="4" t="s">
        <v>35</v>
      </c>
      <c r="P2" s="4" t="s">
        <v>35</v>
      </c>
      <c r="Q2" s="4" t="s">
        <v>35</v>
      </c>
      <c r="R2" s="4" t="s">
        <v>35</v>
      </c>
      <c r="S2" s="4" t="s">
        <v>35</v>
      </c>
      <c r="T2" s="4" t="s">
        <v>35</v>
      </c>
      <c r="U2" s="4" t="s">
        <v>35</v>
      </c>
      <c r="V2" s="4" t="s">
        <v>69</v>
      </c>
      <c r="W2" s="4" t="s">
        <v>67</v>
      </c>
      <c r="X2" s="4" t="s">
        <v>68</v>
      </c>
      <c r="Y2" s="6" t="str">
        <f>TEXT(G2,"#,##0")&amp;" km"</f>
        <v>8,096 km</v>
      </c>
      <c r="Z2" s="6" t="s">
        <v>36</v>
      </c>
      <c r="AA2" s="6" t="s">
        <v>37</v>
      </c>
      <c r="AB2" s="6" t="s">
        <v>93</v>
      </c>
      <c r="AC2" s="6" t="s">
        <v>38</v>
      </c>
      <c r="AD2" s="6" t="str">
        <f>_xlfn.CONCAT(AA2," ",AC2)</f>
        <v>Toshihiko Inafune</v>
      </c>
      <c r="AE2" s="6" t="s">
        <v>39</v>
      </c>
      <c r="AF2" s="6" t="s">
        <v>40</v>
      </c>
      <c r="AG2" s="6" t="s">
        <v>41</v>
      </c>
      <c r="AH2" s="6" t="s">
        <v>94</v>
      </c>
      <c r="AI2" s="6" t="s">
        <v>95</v>
      </c>
      <c r="AJ2" s="6" t="s">
        <v>99</v>
      </c>
      <c r="AK2" s="6" t="s">
        <v>42</v>
      </c>
      <c r="AL2" s="6" t="str">
        <f>AN2&amp;" - "&amp;AM2</f>
        <v>MAZDA CX-5 - FTV21M</v>
      </c>
      <c r="AM2" s="6" t="s">
        <v>43</v>
      </c>
      <c r="AN2" s="6" t="s">
        <v>44</v>
      </c>
      <c r="AO2" s="6" t="s">
        <v>45</v>
      </c>
      <c r="AP2" s="6" t="s">
        <v>37</v>
      </c>
      <c r="AQ2" s="6" t="s">
        <v>38</v>
      </c>
      <c r="AR2" s="6"/>
      <c r="AS2" s="6"/>
      <c r="AT2" s="6"/>
      <c r="AU2" s="6"/>
      <c r="AV2" s="6" t="s">
        <v>108</v>
      </c>
      <c r="AW2" s="6"/>
      <c r="AX2" s="6"/>
      <c r="AY2" s="6"/>
    </row>
    <row r="3" spans="1:51" s="2" customFormat="1" ht="40.5">
      <c r="A3" s="4" t="s">
        <v>46</v>
      </c>
      <c r="B3" s="4" t="s">
        <v>33</v>
      </c>
      <c r="C3" s="4" t="s">
        <v>47</v>
      </c>
      <c r="D3" s="4"/>
      <c r="E3" s="4"/>
      <c r="F3" s="4"/>
      <c r="G3" s="4" t="s">
        <v>48</v>
      </c>
      <c r="H3" s="4" t="s">
        <v>49</v>
      </c>
      <c r="I3" s="4" t="s">
        <v>111</v>
      </c>
      <c r="J3" s="4" t="s">
        <v>50</v>
      </c>
      <c r="K3" s="4" t="s">
        <v>51</v>
      </c>
      <c r="L3" s="4" t="s">
        <v>35</v>
      </c>
      <c r="M3" s="4" t="s">
        <v>35</v>
      </c>
      <c r="N3" s="4" t="s">
        <v>35</v>
      </c>
      <c r="O3" s="4" t="s">
        <v>35</v>
      </c>
      <c r="P3" s="4" t="s">
        <v>35</v>
      </c>
      <c r="Q3" s="4" t="s">
        <v>35</v>
      </c>
      <c r="R3" s="4" t="s">
        <v>35</v>
      </c>
      <c r="S3" s="4" t="s">
        <v>35</v>
      </c>
      <c r="T3" s="4" t="s">
        <v>35</v>
      </c>
      <c r="U3" s="4" t="s">
        <v>35</v>
      </c>
      <c r="V3" s="4" t="s">
        <v>52</v>
      </c>
      <c r="W3" s="4" t="s">
        <v>53</v>
      </c>
      <c r="X3" s="4" t="s">
        <v>54</v>
      </c>
      <c r="Y3" s="4" t="s">
        <v>55</v>
      </c>
      <c r="Z3" s="4" t="s">
        <v>56</v>
      </c>
      <c r="AA3" s="4" t="s">
        <v>78</v>
      </c>
      <c r="AB3" s="4" t="s">
        <v>79</v>
      </c>
      <c r="AC3" s="4" t="s">
        <v>77</v>
      </c>
      <c r="AD3" s="4" t="s">
        <v>57</v>
      </c>
      <c r="AE3" s="4" t="s">
        <v>58</v>
      </c>
      <c r="AF3" s="4" t="s">
        <v>59</v>
      </c>
      <c r="AG3" s="4" t="s">
        <v>60</v>
      </c>
      <c r="AH3" s="4" t="s">
        <v>76</v>
      </c>
      <c r="AI3" s="4" t="s">
        <v>61</v>
      </c>
      <c r="AJ3" s="4" t="s">
        <v>80</v>
      </c>
      <c r="AK3" s="4" t="s">
        <v>62</v>
      </c>
      <c r="AL3" s="4" t="s">
        <v>63</v>
      </c>
      <c r="AM3" s="4" t="s">
        <v>64</v>
      </c>
      <c r="AN3" s="4" t="s">
        <v>65</v>
      </c>
      <c r="AO3" s="4" t="s">
        <v>66</v>
      </c>
      <c r="AP3" s="4" t="s">
        <v>87</v>
      </c>
      <c r="AQ3" s="4" t="s">
        <v>88</v>
      </c>
      <c r="AR3" s="4" t="s">
        <v>89</v>
      </c>
      <c r="AS3" s="4" t="s">
        <v>90</v>
      </c>
      <c r="AT3" s="4" t="s">
        <v>91</v>
      </c>
      <c r="AU3" s="4" t="s">
        <v>92</v>
      </c>
      <c r="AV3" s="4" t="s">
        <v>108</v>
      </c>
      <c r="AW3" s="4" t="s">
        <v>103</v>
      </c>
      <c r="AX3" s="4" t="s">
        <v>106</v>
      </c>
      <c r="AY3" s="4" t="s">
        <v>106</v>
      </c>
    </row>
    <row r="4" spans="1:51" s="2" customFormat="1" ht="40.5">
      <c r="A4" s="4" t="s">
        <v>101</v>
      </c>
      <c r="B4" s="4" t="s">
        <v>33</v>
      </c>
      <c r="C4" s="4" t="s">
        <v>47</v>
      </c>
      <c r="D4" s="4"/>
      <c r="E4" s="4"/>
      <c r="F4" s="4"/>
      <c r="G4" s="4" t="s">
        <v>48</v>
      </c>
      <c r="H4" s="4" t="s">
        <v>49</v>
      </c>
      <c r="I4" s="4" t="s">
        <v>111</v>
      </c>
      <c r="J4" s="4" t="s">
        <v>50</v>
      </c>
      <c r="K4" s="4" t="s">
        <v>51</v>
      </c>
      <c r="L4" s="4" t="s">
        <v>35</v>
      </c>
      <c r="M4" s="4" t="s">
        <v>35</v>
      </c>
      <c r="N4" s="4" t="s">
        <v>35</v>
      </c>
      <c r="O4" s="4" t="s">
        <v>35</v>
      </c>
      <c r="P4" s="4" t="s">
        <v>35</v>
      </c>
      <c r="Q4" s="4" t="s">
        <v>35</v>
      </c>
      <c r="R4" s="4" t="s">
        <v>35</v>
      </c>
      <c r="S4" s="4" t="s">
        <v>35</v>
      </c>
      <c r="T4" s="4" t="s">
        <v>35</v>
      </c>
      <c r="U4" s="4" t="s">
        <v>35</v>
      </c>
      <c r="V4" s="4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78</v>
      </c>
      <c r="AB4" s="4" t="s">
        <v>79</v>
      </c>
      <c r="AC4" s="4" t="s">
        <v>77</v>
      </c>
      <c r="AD4" s="4" t="s">
        <v>57</v>
      </c>
      <c r="AE4" s="4" t="s">
        <v>58</v>
      </c>
      <c r="AF4" s="4" t="s">
        <v>59</v>
      </c>
      <c r="AG4" s="4" t="s">
        <v>60</v>
      </c>
      <c r="AH4" s="4" t="s">
        <v>76</v>
      </c>
      <c r="AI4" s="4" t="s">
        <v>61</v>
      </c>
      <c r="AJ4" s="4" t="s">
        <v>80</v>
      </c>
      <c r="AK4" s="4" t="s">
        <v>62</v>
      </c>
      <c r="AL4" s="4" t="s">
        <v>63</v>
      </c>
      <c r="AM4" s="4" t="s">
        <v>64</v>
      </c>
      <c r="AN4" s="4" t="s">
        <v>65</v>
      </c>
      <c r="AO4" s="4" t="s">
        <v>66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91</v>
      </c>
      <c r="AU4" s="4" t="s">
        <v>92</v>
      </c>
      <c r="AV4" s="4" t="s">
        <v>102</v>
      </c>
      <c r="AW4" s="4" t="s">
        <v>103</v>
      </c>
      <c r="AX4" s="4" t="s">
        <v>106</v>
      </c>
      <c r="AY4" s="4" t="s">
        <v>106</v>
      </c>
    </row>
    <row r="5" spans="1:51">
      <c r="G5" s="7"/>
    </row>
    <row r="10" spans="1:51" ht="14.25">
      <c r="X10" s="8"/>
      <c r="AV10" s="4"/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Dhanalakshmi Jayaraman</cp:lastModifiedBy>
  <dcterms:created xsi:type="dcterms:W3CDTF">2025-12-01T12:03:00Z</dcterms:created>
  <dcterms:modified xsi:type="dcterms:W3CDTF">2026-09-02T16:57:47Z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