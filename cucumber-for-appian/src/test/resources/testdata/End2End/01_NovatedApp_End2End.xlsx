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<sst xmlns="http://schemas.openxmlformats.org/spreadsheetml/2006/main" count="269" uniqueCount="111">
  <si>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</si>
  <si>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</si>
  <si>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</si>
  <si>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</si>
  <si>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</si>
  <si>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</si>
  <si>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</si>
  <si>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</si>
  <si>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</si>
  <si>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</si>
  <si>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</si>
  <si>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</si>
  <si>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</si>
  <si>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</si>
  <si>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</si>
  <si>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</si>
  <si>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</si>
  <si>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</si>
  <si>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</si>
  <si>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</si>
  <si>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</si>
  <si>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</si>
  <si>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</si>
  <si>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</si>
  <si>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</si>
  <si>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</si>
  <si>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</si>
  <si>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</si>
  <si>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</si>
  <si>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</si>
  <si>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</si>
  <si>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</si>
  <si>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</si>
  <si>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</si>
  <si>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</si>
  <si>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</si>
  <si>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Reimbursement Claim</t>
  </si>
  <si>
    <t>5591</t>
  </si>
  <si>
    <t>Fuel</t>
  </si>
  <si>
    <t>C:\Automation\Test cases Novated App\Filestoupload\Invoice.pdf</t>
  </si>
  <si>
    <t>N/A</t>
  </si>
  <si>
    <t>16 Jun 2026</t>
  </si>
  <si>
    <t>2 Jun 2026</t>
  </si>
  <si>
    <t>REQ-986</t>
  </si>
  <si>
    <t>Mr</t>
  </si>
  <si>
    <t>Toshihiko</t>
  </si>
  <si>
    <t>Inafune</t>
  </si>
  <si>
    <t>05 Jun 1995</t>
  </si>
  <si>
    <t>0469750861</t>
  </si>
  <si>
    <t>inafune@jfcaust.com.au.test</t>
  </si>
  <si>
    <t>Your Residential Address *</t>
  </si>
  <si>
    <t>JFC Australia Co Pty Ltd</t>
  </si>
  <si>
    <t>FTV21M</t>
  </si>
  <si>
    <t>MAZDA CX-5</t>
  </si>
  <si>
    <t>30 Aug 2029</t>
  </si>
  <si>
    <t>TC002</t>
  </si>
  <si>
    <t>${TC001.Last Odometer Reading}</t>
  </si>
  <si>
    <t>${TC001.New Odometer}</t>
  </si>
  <si>
    <t>${TC001.Claim Type}</t>
  </si>
  <si>
    <t>${TC001.Amount ($)}</t>
  </si>
  <si>
    <t>${TC001.Proof of Payment}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</si>
  <si>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</si>
  <si>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</si>
  <si>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</si>
  <si>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</si>
  <si>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</si>
  <si>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</si>
  <si>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</si>
  <si>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</si>
  <si>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</si>
  <si>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</si>
  <si>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</si>
  <si>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</si>
  <si>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</si>
  <si>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</si>
  <si>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</si>
  <si>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</si>
  <si>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</si>
  <si>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5592</t>
  </si>
  <si>
    <t>REQ-987</t>
  </si>
  <si>
    <t>CYP806</t>
  </si>
  <si>
    <t>TESLA MODEL Y</t>
  </si>
  <si>
    <t>11 Jun 2027</t>
  </si>
  <si>
    <t>8002</t>
  </si>
  <si>
    <t>Neeti</t>
  </si>
  <si>
    <t>Tripathi</t>
  </si>
  <si>
    <t>03 Jul 1993</t>
  </si>
  <si>
    <t>0499656877</t>
  </si>
  <si>
    <t>neeti.tripathi@kmart.com.au.test</t>
  </si>
  <si>
    <t>Kmart Australia Limited</t>
  </si>
  <si>
    <t>13 Jul 2026</t>
  </si>
  <si>
    <t>22 Jul 2026</t>
  </si>
  <si>
    <t>REQ-97</t>
  </si>
  <si>
    <t>8061</t>
  </si>
  <si>
    <t>28 Jul 2026</t>
  </si>
  <si>
    <t>29 Jul 2026</t>
  </si>
  <si>
    <t>REQ-157</t>
  </si>
  <si>
    <t>Notifications (0)</t>
  </si>
  <si>
    <t>There are no Current quotes to display</t>
  </si>
  <si>
    <t>134444</t>
  </si>
  <si>
    <t>19 Jul 2026</t>
  </si>
  <si>
    <t>20 Aug 2026</t>
  </si>
  <si>
    <t>134445</t>
  </si>
  <si>
    <t>134446</t>
  </si>
  <si>
    <t>REQ-1651</t>
  </si>
  <si>
    <t>134447</t>
  </si>
  <si>
    <t>REQ-1652</t>
  </si>
  <si>
    <t>134448</t>
  </si>
  <si>
    <t>REQ-1653</t>
  </si>
  <si>
    <t>134451</t>
  </si>
  <si>
    <t>24 Aug 2026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</si>
</sst>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"/>
  <sheetViews>
    <sheetView tabSelected="1" topLeftCell="Z1" workbookViewId="0">
      <selection activeCell="AI1" sqref="AI1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31" customWidth="true" width="19.1083333333333"/>
    <col min="32" max="32" customWidth="true" width="27.2"/>
    <col min="33" max="33" customWidth="true" width="15.1"/>
    <col min="34" max="34" customWidth="true" width="12.8"/>
    <col min="35" max="35" customWidth="true" width="15.5"/>
  </cols>
  <sheetData>
    <row r="1" s="1" customFormat="1" ht="27.6" spans="1: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</row>
    <row r="2" s="2" customFormat="1" ht="55.2" spans="1:35">
      <c r="A2" s="4" t="s">
        <v>35</v>
      </c>
      <c r="B2" s="4" t="s">
        <v>36</v>
      </c>
      <c r="C2" s="5" t="s">
        <v>109</v>
      </c>
      <c r="D2" s="6" t="n">
        <f>C2+1</f>
        <v>134452.0</v>
      </c>
      <c r="E2" s="6" t="n">
        <f>D2</f>
        <v>134452.0</v>
      </c>
      <c r="F2" s="4" t="s">
        <v>38</v>
      </c>
      <c r="G2" s="4">
        <v>400</v>
      </c>
      <c r="H2" s="4" t="s">
        <v>39</v>
      </c>
      <c r="I2" s="4" t="s">
        <v>40</v>
      </c>
      <c r="J2" s="4" t="s">
        <v>40</v>
      </c>
      <c r="K2" s="4" t="s">
        <v>40</v>
      </c>
      <c r="L2" s="4" t="s">
        <v>40</v>
      </c>
      <c r="M2" s="4" t="s">
        <v>40</v>
      </c>
      <c r="N2" s="4" t="s">
        <v>40</v>
      </c>
      <c r="O2" s="4" t="s">
        <v>40</v>
      </c>
      <c r="P2" s="4" t="s">
        <v>40</v>
      </c>
      <c r="Q2" s="4" t="s">
        <v>40</v>
      </c>
      <c r="R2" s="4" t="s">
        <v>40</v>
      </c>
      <c r="S2" s="4" t="s">
        <v>110</v>
      </c>
      <c r="T2" s="4" t="s">
        <v>101</v>
      </c>
      <c r="U2" s="4" t="s">
        <v>108</v>
      </c>
      <c r="V2" s="7" t="str">
        <f>TEXT(E2,"#,##0")&amp;" km"</f>
        <v>134,452 km</v>
      </c>
      <c r="W2" s="7" t="s">
        <v>44</v>
      </c>
      <c r="X2" s="7" t="s">
        <v>45</v>
      </c>
      <c r="Y2" s="7" t="s">
        <v>46</v>
      </c>
      <c r="Z2" s="7" t="str">
        <f>_xlfn.CONCAT(X2," ",Y2)</f>
        <v>Toshihiko Inafune</v>
      </c>
      <c r="AA2" s="7" t="s">
        <v>47</v>
      </c>
      <c r="AB2" s="7" t="s">
        <v>48</v>
      </c>
      <c r="AC2" s="7" t="s">
        <v>49</v>
      </c>
      <c r="AD2" s="7" t="s">
        <v>50</v>
      </c>
      <c r="AE2" s="7" t="s">
        <v>51</v>
      </c>
      <c r="AF2" s="7" t="str">
        <f>AH2&amp;" - "&amp;AG2</f>
        <v>MAZDA CX-5 - FTV21M</v>
      </c>
      <c r="AG2" s="7" t="s">
        <v>52</v>
      </c>
      <c r="AH2" s="7" t="s">
        <v>53</v>
      </c>
      <c r="AI2" s="7" t="s">
        <v>54</v>
      </c>
    </row>
    <row r="3" s="2" customFormat="1" ht="27.6" spans="1:35">
      <c r="A3" s="4" t="s">
        <v>55</v>
      </c>
      <c r="B3" s="4" t="s">
        <v>36</v>
      </c>
      <c r="C3" s="4" t="s">
        <v>56</v>
      </c>
      <c r="D3" s="4"/>
      <c r="E3" s="4" t="s">
        <v>57</v>
      </c>
      <c r="F3" s="4" t="s">
        <v>58</v>
      </c>
      <c r="G3" s="4" t="s">
        <v>59</v>
      </c>
      <c r="H3" s="4" t="s">
        <v>60</v>
      </c>
      <c r="I3" s="4" t="s">
        <v>40</v>
      </c>
      <c r="J3" s="4" t="s">
        <v>40</v>
      </c>
      <c r="K3" s="4" t="s">
        <v>40</v>
      </c>
      <c r="L3" s="4" t="s">
        <v>40</v>
      </c>
      <c r="M3" s="4" t="s">
        <v>40</v>
      </c>
      <c r="N3" s="4" t="s">
        <v>40</v>
      </c>
      <c r="O3" s="4" t="s">
        <v>40</v>
      </c>
      <c r="P3" s="4" t="s">
        <v>40</v>
      </c>
      <c r="Q3" s="4" t="s">
        <v>40</v>
      </c>
      <c r="R3" s="4" t="s">
        <v>40</v>
      </c>
      <c r="S3" s="4" t="s">
        <v>61</v>
      </c>
      <c r="T3" s="4" t="s">
        <v>62</v>
      </c>
      <c r="U3" s="4" t="s">
        <v>63</v>
      </c>
      <c r="V3" s="4" t="s">
        <v>64</v>
      </c>
      <c r="W3" s="4" t="s">
        <v>65</v>
      </c>
      <c r="X3" s="4" t="s">
        <v>66</v>
      </c>
      <c r="Y3" s="4" t="s">
        <v>67</v>
      </c>
      <c r="Z3" s="4" t="s">
        <v>68</v>
      </c>
      <c r="AA3" s="4" t="s">
        <v>69</v>
      </c>
      <c r="AB3" s="4" t="s">
        <v>70</v>
      </c>
      <c r="AC3" s="4" t="s">
        <v>71</v>
      </c>
      <c r="AD3" s="4" t="s">
        <v>72</v>
      </c>
      <c r="AE3" s="4" t="s">
        <v>73</v>
      </c>
      <c r="AF3" s="4" t="s">
        <v>74</v>
      </c>
      <c r="AG3" s="4" t="s">
        <v>75</v>
      </c>
      <c r="AH3" s="4" t="s">
        <v>76</v>
      </c>
      <c r="AI3" s="4" t="s">
        <v>77</v>
      </c>
    </row>
    <row r="5" spans="1:35">
      <c r="E5" s="8"/>
    </row>
    <row r="10" spans="1:35">
      <c r="U10" s="9"/>
    </row>
  </sheetData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HP</cp:lastModifiedBy>
  <dcterms:modified xsi:type="dcterms:W3CDTF">2026-06-16T03:52:17Z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