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18F3B245-97D0-48E2-B4FE-9EDD262BF897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4" l="1"/>
  <c r="E2" i="14" s="1"/>
  <c r="AL2" i="14"/>
  <c r="AD2" i="14"/>
  <c r="F2" i="14" l="1"/>
  <c r="G2" i="14" s="1"/>
  <c r="Y2" i="14" s="1"/>
</calcChain>
</file>

<file path=xl/sharedStrings.xml><?xml version="1.0" encoding="utf-8"?>
<sst xmlns="http://schemas.openxmlformats.org/spreadsheetml/2006/main" count="258" uniqueCount="126">
  <si>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</si>
  <si>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</si>
  <si>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</si>
  <si>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</si>
  <si>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</si>
  <si>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</si>
  <si>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</si>
  <si>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</si>
  <si>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</si>
  <si>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</si>
  <si>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</si>
  <si>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</si>
  <si>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</si>
  <si>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</si>
  <si>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</si>
  <si>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</si>
  <si>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</si>
  <si>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</si>
  <si>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</si>
  <si>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</si>
  <si>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</si>
  <si>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</si>
  <si>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</si>
  <si>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</si>
  <si>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</si>
  <si>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</si>
  <si>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</si>
  <si>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</si>
  <si>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</si>
  <si>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</si>
  <si>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</si>
  <si>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</si>
  <si>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</si>
  <si>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</si>
  <si>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</si>
  <si>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Service</t>
  </si>
  <si>
    <t>Option 1</t>
  </si>
  <si>
    <t>N/A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</si>
  <si>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</si>
  <si>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</si>
  <si>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</si>
  <si>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</si>
  <si>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</si>
  <si>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</si>
  <si>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</si>
  <si>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</si>
  <si>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</si>
  <si>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</si>
  <si>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</si>
  <si>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</si>
  <si>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</si>
  <si>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</si>
  <si>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</si>
  <si>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</si>
  <si>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</si>
  <si>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</si>
  <si>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</si>
  <si>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david.cracknell@keyton.com.au.test</t>
  </si>
  <si>
    <t>FTV21M</t>
  </si>
  <si>
    <t>MAZDA CX-5</t>
  </si>
  <si>
    <t>Inafune</t>
  </si>
  <si>
    <t>05 Jun 1995</t>
  </si>
  <si>
    <t>20 Aug 2026</t>
  </si>
  <si>
    <t>Last Odometer Reading with km</t>
  </si>
  <si>
    <t>Last Odometer Reading without Km</t>
  </si>
  <si>
    <t xml:space="preserve">Amount </t>
  </si>
  <si>
    <t>Legal First Name</t>
  </si>
  <si>
    <t>Legal Middle Name</t>
  </si>
  <si>
    <t>Legal Last Name</t>
  </si>
  <si>
    <t>Driver Work Email</t>
  </si>
  <si>
    <t>Driver Residential Address</t>
  </si>
  <si>
    <t>Driver Postal Address</t>
  </si>
  <si>
    <t>Account Name</t>
  </si>
  <si>
    <t>Account Holder</t>
  </si>
  <si>
    <t>Bank Name</t>
  </si>
  <si>
    <t>BSB</t>
  </si>
  <si>
    <t>Account Number</t>
  </si>
  <si>
    <t>Account Type</t>
  </si>
  <si>
    <t>Request Ref Number</t>
  </si>
  <si>
    <t>Submitted By</t>
  </si>
  <si>
    <t>Updated By</t>
  </si>
  <si>
    <t>$400.00</t>
  </si>
  <si>
    <t>C:\Users\Public\Documents\Invoice.pdf</t>
  </si>
  <si>
    <t>REQ-1653</t>
  </si>
  <si>
    <t>-</t>
  </si>
  <si>
    <t>34 Lookout Way, Tarneit VIC 3029</t>
  </si>
  <si>
    <t>30 Aug 2029</t>
  </si>
  <si>
    <t>ORI-865-472-139-689</t>
  </si>
  <si>
    <t>${TC001.Claim Type}</t>
  </si>
  <si>
    <t>${TC001.Amount}</t>
  </si>
  <si>
    <t>${TC001.Amount ($)}</t>
  </si>
  <si>
    <t>${TC001.Proof of Payment}</t>
  </si>
  <si>
    <t>${TC001.Legal First Name}</t>
  </si>
  <si>
    <t>${TC001.Legal Middle Name}</t>
  </si>
  <si>
    <t>${TC001.Legal Last Name}</t>
  </si>
  <si>
    <t>${TC001.Driver Work Email}</t>
  </si>
  <si>
    <t>${TC001.Driver Postal Address}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</si>
  <si>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</si>
  <si>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</si>
  <si>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</si>
  <si>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</si>
  <si>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</si>
  <si>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</si>
  <si>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MAZDA CX-5 - FTV21M</t>
  </si>
  <si>
    <t>Toshihiko Inafune</t>
  </si>
  <si>
    <t>TC003</t>
  </si>
  <si>
    <t>${TC002.Request Ref Number}</t>
  </si>
  <si>
    <t>012-512</t>
  </si>
  <si>
    <t>64632100</t>
  </si>
  <si>
    <t>Savings</t>
  </si>
  <si>
    <t>Employer ABN</t>
  </si>
  <si>
    <t>${TC001.Employer ABN}</t>
  </si>
  <si>
    <t>Commonwealth Bank of Australia</t>
  </si>
  <si>
    <t>REQ-2923</t>
  </si>
  <si>
    <t>AutoLease Reference #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</si>
  <si>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</si>
  <si>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</si>
  <si>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</si>
  <si>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</si>
  <si>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</si>
  <si>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</si>
  <si>
    <t>OYMJACPWRXEVYPYGENMAU CARLTON NSW 2218</t>
  </si>
  <si>
    <t>GVNMTQNAABTDB</t>
  </si>
  <si>
    <t>REQ-771</t>
  </si>
  <si>
    <t>Estimated Annual Premium</t>
  </si>
  <si>
    <t>TC004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</si>
</sst>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4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sz val="8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0"/>
  <sheetViews>
    <sheetView tabSelected="1" workbookViewId="0">
      <selection activeCell="A4" sqref="A4:A5"/>
    </sheetView>
  </sheetViews>
  <sheetFormatPr defaultColWidth="8.875" defaultRowHeight="13.5"/>
  <cols>
    <col min="1" max="1" width="8.5" customWidth="1"/>
    <col min="2" max="2" width="20.75" customWidth="1"/>
    <col min="3" max="4" width="24.375" customWidth="1"/>
    <col min="5" max="5" width="27.375" customWidth="1"/>
    <col min="6" max="6" width="16.75" customWidth="1"/>
    <col min="7" max="7" width="15.375" customWidth="1"/>
    <col min="8" max="8" width="21.75" customWidth="1"/>
    <col min="9" max="9" width="18.625" customWidth="1"/>
    <col min="10" max="10" width="23.75" customWidth="1"/>
    <col min="11" max="11" width="17.25" customWidth="1"/>
    <col min="12" max="12" width="19.875" customWidth="1"/>
    <col min="13" max="13" width="20.625" customWidth="1"/>
    <col min="14" max="14" width="17.5" customWidth="1"/>
    <col min="15" max="15" width="14.625" customWidth="1"/>
    <col min="16" max="16" width="19.375" customWidth="1"/>
    <col min="17" max="17" width="18.5" customWidth="1"/>
    <col min="18" max="23" width="19.125" customWidth="1"/>
    <col min="51" max="51" width="8.875" style="1"/>
    <col min="54" max="54" width="14.625" customWidth="1"/>
    <col min="55" max="55" width="17.375" customWidth="1"/>
  </cols>
  <sheetData>
    <row r="1" spans="1:57" s="1" customFormat="1" ht="67.5">
      <c r="A1" s="3" t="s">
        <v>0</v>
      </c>
      <c r="B1" s="3" t="s">
        <v>1</v>
      </c>
      <c r="C1" s="3" t="s">
        <v>2</v>
      </c>
      <c r="D1" s="3" t="s">
        <v>63</v>
      </c>
      <c r="E1" s="3" t="s">
        <v>64</v>
      </c>
      <c r="F1" s="3" t="s">
        <v>3</v>
      </c>
      <c r="G1" s="3" t="s">
        <v>4</v>
      </c>
      <c r="H1" s="3" t="s">
        <v>5</v>
      </c>
      <c r="I1" s="3" t="s">
        <v>65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23</v>
      </c>
      <c r="AA1" s="3" t="s">
        <v>66</v>
      </c>
      <c r="AB1" s="3" t="s">
        <v>67</v>
      </c>
      <c r="AC1" s="3" t="s">
        <v>68</v>
      </c>
      <c r="AD1" s="3" t="s">
        <v>24</v>
      </c>
      <c r="AE1" s="3" t="s">
        <v>25</v>
      </c>
      <c r="AF1" s="3" t="s">
        <v>26</v>
      </c>
      <c r="AG1" s="3" t="s">
        <v>27</v>
      </c>
      <c r="AH1" s="3" t="s">
        <v>69</v>
      </c>
      <c r="AI1" s="3" t="s">
        <v>70</v>
      </c>
      <c r="AJ1" s="3" t="s">
        <v>71</v>
      </c>
      <c r="AK1" s="3" t="s">
        <v>28</v>
      </c>
      <c r="AL1" s="3" t="s">
        <v>29</v>
      </c>
      <c r="AM1" s="3" t="s">
        <v>30</v>
      </c>
      <c r="AN1" s="3" t="s">
        <v>31</v>
      </c>
      <c r="AO1" s="3" t="s">
        <v>32</v>
      </c>
      <c r="AP1" s="3" t="s">
        <v>72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77</v>
      </c>
      <c r="AV1" s="3" t="s">
        <v>78</v>
      </c>
      <c r="AW1" s="3" t="s">
        <v>29</v>
      </c>
      <c r="AX1" s="3" t="s">
        <v>30</v>
      </c>
      <c r="AY1" s="3" t="s">
        <v>31</v>
      </c>
      <c r="AZ1" s="3" t="s">
        <v>79</v>
      </c>
      <c r="BA1" s="3" t="s">
        <v>80</v>
      </c>
      <c r="BB1" s="3" t="s">
        <v>22</v>
      </c>
      <c r="BC1" s="3" t="s">
        <v>110</v>
      </c>
      <c r="BD1" s="3" t="s">
        <v>114</v>
      </c>
      <c r="BE1" s="3" t="s">
        <v>124</v>
      </c>
    </row>
    <row r="2" spans="1:57" s="2" customFormat="1" ht="94.5">
      <c r="A2" s="4" t="s">
        <v>33</v>
      </c>
      <c r="B2" s="4" t="s">
        <v>34</v>
      </c>
      <c r="C2" s="4" t="s">
        <v>115</v>
      </c>
      <c r="D2" s="5" t="str">
        <f>SUBSTITUTE(C2,"Latest Reading (kms)","")</f>
        <v xml:space="preserve">
18,065 km</v>
      </c>
      <c r="E2" s="5" t="str">
        <f>SUBSTITUTE(SUBSTITUTE(SUBSTITUTE(SUBSTITUTE(CLEAN(D2),"km",""),",","")," ",""),CHAR(160),"")</f>
        <v>18065</v>
      </c>
      <c r="F2" s="5">
        <f>E2+1</f>
        <v>18066</v>
      </c>
      <c r="G2" s="5">
        <f>F2</f>
        <v>18066</v>
      </c>
      <c r="H2" s="4" t="s">
        <v>35</v>
      </c>
      <c r="I2" s="4">
        <v>400</v>
      </c>
      <c r="J2" s="4" t="s">
        <v>81</v>
      </c>
      <c r="K2" s="4" t="s">
        <v>82</v>
      </c>
      <c r="L2" s="4" t="s">
        <v>36</v>
      </c>
      <c r="M2" s="4" t="s">
        <v>37</v>
      </c>
      <c r="N2" s="4" t="s">
        <v>37</v>
      </c>
      <c r="O2" s="4" t="s">
        <v>37</v>
      </c>
      <c r="P2" s="4" t="s">
        <v>37</v>
      </c>
      <c r="Q2" s="4" t="s">
        <v>37</v>
      </c>
      <c r="R2" s="4" t="s">
        <v>37</v>
      </c>
      <c r="S2" s="4" t="s">
        <v>37</v>
      </c>
      <c r="T2" s="4" t="s">
        <v>37</v>
      </c>
      <c r="U2" s="4" t="s">
        <v>37</v>
      </c>
      <c r="V2" s="4" t="s">
        <v>62</v>
      </c>
      <c r="W2" s="4" t="s">
        <v>62</v>
      </c>
      <c r="X2" s="4" t="s">
        <v>83</v>
      </c>
      <c r="Y2" s="6" t="str">
        <f>TEXT(G2,"#,##0")&amp;" km"</f>
        <v>18,066 km</v>
      </c>
      <c r="Z2" s="6" t="s">
        <v>38</v>
      </c>
      <c r="AA2" s="6" t="s">
        <v>116</v>
      </c>
      <c r="AB2" s="6" t="s">
        <v>84</v>
      </c>
      <c r="AC2" s="6" t="s">
        <v>117</v>
      </c>
      <c r="AD2" s="6" t="str">
        <f>_xlfn.CONCAT(AA2," ",AC2)</f>
        <v>BTFWULH ABDGO</v>
      </c>
      <c r="AE2" s="6" t="s">
        <v>61</v>
      </c>
      <c r="AF2" s="6" t="s">
        <v>118</v>
      </c>
      <c r="AG2" s="6" t="s">
        <v>119</v>
      </c>
      <c r="AH2" s="6" t="s">
        <v>57</v>
      </c>
      <c r="AI2" s="6" t="s">
        <v>121</v>
      </c>
      <c r="AJ2" s="6" t="s">
        <v>85</v>
      </c>
      <c r="AK2" s="6" t="s">
        <v>120</v>
      </c>
      <c r="AL2" s="6" t="str">
        <f>AN2&amp;" - "&amp;AM2</f>
        <v>MAZDA CX-5 - FTV21M</v>
      </c>
      <c r="AM2" s="6" t="s">
        <v>58</v>
      </c>
      <c r="AN2" s="6" t="s">
        <v>59</v>
      </c>
      <c r="AO2" s="6" t="s">
        <v>86</v>
      </c>
      <c r="AP2" s="6" t="s">
        <v>122</v>
      </c>
      <c r="AQ2" s="6" t="s">
        <v>60</v>
      </c>
      <c r="AR2" s="6" t="s">
        <v>112</v>
      </c>
      <c r="AS2" s="6" t="s">
        <v>107</v>
      </c>
      <c r="AT2" s="6" t="s">
        <v>108</v>
      </c>
      <c r="AU2" s="6" t="s">
        <v>109</v>
      </c>
      <c r="AV2" s="6" t="s">
        <v>87</v>
      </c>
      <c r="AW2" s="6"/>
      <c r="AX2" s="6" t="s">
        <v>58</v>
      </c>
      <c r="AY2" s="6" t="s">
        <v>59</v>
      </c>
      <c r="AZ2" s="6"/>
      <c r="BA2" s="6"/>
      <c r="BB2" s="6" t="s">
        <v>82</v>
      </c>
      <c r="BC2" s="6">
        <v>44099105094</v>
      </c>
      <c r="BD2" s="6"/>
      <c r="BE2" s="6"/>
    </row>
    <row r="3" spans="1:57" s="2" customFormat="1" ht="81">
      <c r="A3" s="4" t="s">
        <v>39</v>
      </c>
      <c r="B3" s="4" t="s">
        <v>34</v>
      </c>
      <c r="C3" s="4" t="s">
        <v>40</v>
      </c>
      <c r="D3" s="4"/>
      <c r="E3" s="4"/>
      <c r="F3" s="4"/>
      <c r="G3" s="4" t="s">
        <v>41</v>
      </c>
      <c r="H3" s="4" t="s">
        <v>88</v>
      </c>
      <c r="I3" s="4" t="s">
        <v>89</v>
      </c>
      <c r="J3" s="4" t="s">
        <v>90</v>
      </c>
      <c r="K3" s="4" t="s">
        <v>91</v>
      </c>
      <c r="L3" s="4" t="s">
        <v>36</v>
      </c>
      <c r="M3" s="4" t="s">
        <v>37</v>
      </c>
      <c r="N3" s="4" t="s">
        <v>37</v>
      </c>
      <c r="O3" s="4" t="s">
        <v>37</v>
      </c>
      <c r="P3" s="4" t="s">
        <v>37</v>
      </c>
      <c r="Q3" s="4" t="s">
        <v>37</v>
      </c>
      <c r="R3" s="4" t="s">
        <v>37</v>
      </c>
      <c r="S3" s="4" t="s">
        <v>37</v>
      </c>
      <c r="T3" s="4" t="s">
        <v>37</v>
      </c>
      <c r="U3" s="4" t="s">
        <v>37</v>
      </c>
      <c r="V3" s="4" t="s">
        <v>42</v>
      </c>
      <c r="W3" s="4" t="s">
        <v>43</v>
      </c>
      <c r="X3" s="4" t="s">
        <v>44</v>
      </c>
      <c r="Y3" s="4" t="s">
        <v>45</v>
      </c>
      <c r="Z3" s="4" t="s">
        <v>46</v>
      </c>
      <c r="AA3" s="4" t="s">
        <v>92</v>
      </c>
      <c r="AB3" s="4" t="s">
        <v>93</v>
      </c>
      <c r="AC3" s="4" t="s">
        <v>94</v>
      </c>
      <c r="AD3" s="4" t="s">
        <v>47</v>
      </c>
      <c r="AE3" s="4" t="s">
        <v>48</v>
      </c>
      <c r="AF3" s="4" t="s">
        <v>49</v>
      </c>
      <c r="AG3" s="4" t="s">
        <v>50</v>
      </c>
      <c r="AH3" s="4" t="s">
        <v>95</v>
      </c>
      <c r="AI3" s="4" t="s">
        <v>51</v>
      </c>
      <c r="AJ3" s="4" t="s">
        <v>96</v>
      </c>
      <c r="AK3" s="4" t="s">
        <v>52</v>
      </c>
      <c r="AL3" s="4" t="s">
        <v>53</v>
      </c>
      <c r="AM3" s="4" t="s">
        <v>54</v>
      </c>
      <c r="AN3" s="4" t="s">
        <v>55</v>
      </c>
      <c r="AO3" s="4" t="s">
        <v>56</v>
      </c>
      <c r="AP3" s="4" t="s">
        <v>97</v>
      </c>
      <c r="AQ3" s="4" t="s">
        <v>98</v>
      </c>
      <c r="AR3" s="4" t="s">
        <v>99</v>
      </c>
      <c r="AS3" s="4" t="s">
        <v>100</v>
      </c>
      <c r="AT3" s="4" t="s">
        <v>101</v>
      </c>
      <c r="AU3" s="4" t="s">
        <v>102</v>
      </c>
      <c r="AV3" s="4" t="s">
        <v>123</v>
      </c>
      <c r="AW3" s="4" t="s">
        <v>103</v>
      </c>
      <c r="AX3" s="4" t="s">
        <v>54</v>
      </c>
      <c r="AY3" s="4" t="s">
        <v>55</v>
      </c>
      <c r="AZ3" s="4" t="s">
        <v>104</v>
      </c>
      <c r="BA3" s="4" t="s">
        <v>104</v>
      </c>
      <c r="BB3" s="6" t="s">
        <v>82</v>
      </c>
      <c r="BC3" s="4" t="s">
        <v>111</v>
      </c>
      <c r="BD3" s="4"/>
      <c r="BE3" s="4"/>
    </row>
    <row r="4" spans="1:57" ht="81">
      <c r="A4" s="4" t="s">
        <v>105</v>
      </c>
      <c r="B4" s="4" t="s">
        <v>34</v>
      </c>
      <c r="C4" s="4" t="s">
        <v>40</v>
      </c>
      <c r="D4" s="4"/>
      <c r="E4" s="4"/>
      <c r="F4" s="4"/>
      <c r="G4" s="4" t="s">
        <v>41</v>
      </c>
      <c r="H4" s="4" t="s">
        <v>88</v>
      </c>
      <c r="I4" s="4" t="s">
        <v>89</v>
      </c>
      <c r="J4" s="4" t="s">
        <v>90</v>
      </c>
      <c r="K4" s="4" t="s">
        <v>91</v>
      </c>
      <c r="L4" s="4" t="s">
        <v>36</v>
      </c>
      <c r="M4" s="4" t="s">
        <v>37</v>
      </c>
      <c r="N4" s="4" t="s">
        <v>37</v>
      </c>
      <c r="O4" s="4" t="s">
        <v>37</v>
      </c>
      <c r="P4" s="4" t="s">
        <v>37</v>
      </c>
      <c r="Q4" s="4" t="s">
        <v>37</v>
      </c>
      <c r="R4" s="4" t="s">
        <v>37</v>
      </c>
      <c r="S4" s="4" t="s">
        <v>37</v>
      </c>
      <c r="T4" s="4" t="s">
        <v>37</v>
      </c>
      <c r="U4" s="4" t="s">
        <v>37</v>
      </c>
      <c r="V4" s="4" t="s">
        <v>42</v>
      </c>
      <c r="W4" s="4" t="s">
        <v>43</v>
      </c>
      <c r="X4" s="4" t="s">
        <v>44</v>
      </c>
      <c r="Y4" s="4" t="s">
        <v>45</v>
      </c>
      <c r="Z4" s="4" t="s">
        <v>46</v>
      </c>
      <c r="AA4" s="4" t="s">
        <v>92</v>
      </c>
      <c r="AB4" s="4" t="s">
        <v>93</v>
      </c>
      <c r="AC4" s="4" t="s">
        <v>94</v>
      </c>
      <c r="AD4" s="4" t="s">
        <v>47</v>
      </c>
      <c r="AE4" s="4" t="s">
        <v>48</v>
      </c>
      <c r="AF4" s="4" t="s">
        <v>49</v>
      </c>
      <c r="AG4" s="4" t="s">
        <v>50</v>
      </c>
      <c r="AH4" s="4" t="s">
        <v>95</v>
      </c>
      <c r="AI4" s="4" t="s">
        <v>51</v>
      </c>
      <c r="AJ4" s="4" t="s">
        <v>96</v>
      </c>
      <c r="AK4" s="4" t="s">
        <v>52</v>
      </c>
      <c r="AL4" s="4" t="s">
        <v>53</v>
      </c>
      <c r="AM4" s="4" t="s">
        <v>54</v>
      </c>
      <c r="AN4" s="4" t="s">
        <v>55</v>
      </c>
      <c r="AO4" s="4" t="s">
        <v>56</v>
      </c>
      <c r="AP4" s="4" t="s">
        <v>97</v>
      </c>
      <c r="AQ4" s="4" t="s">
        <v>98</v>
      </c>
      <c r="AR4" s="4" t="s">
        <v>99</v>
      </c>
      <c r="AS4" s="4" t="s">
        <v>100</v>
      </c>
      <c r="AT4" s="4" t="s">
        <v>101</v>
      </c>
      <c r="AU4" s="4" t="s">
        <v>102</v>
      </c>
      <c r="AV4" s="4" t="s">
        <v>106</v>
      </c>
      <c r="AW4" s="4" t="s">
        <v>103</v>
      </c>
      <c r="AX4" s="4" t="s">
        <v>54</v>
      </c>
      <c r="AY4" s="4" t="s">
        <v>55</v>
      </c>
      <c r="AZ4" s="4" t="s">
        <v>104</v>
      </c>
      <c r="BA4" s="4" t="s">
        <v>104</v>
      </c>
      <c r="BB4" s="6" t="s">
        <v>82</v>
      </c>
      <c r="BC4" s="4" t="s">
        <v>111</v>
      </c>
      <c r="BD4" s="4" t="s">
        <v>113</v>
      </c>
      <c r="BE4" s="4"/>
    </row>
    <row r="5" spans="1:57" ht="81">
      <c r="A5" s="4" t="s">
        <v>125</v>
      </c>
      <c r="B5" s="4" t="s">
        <v>34</v>
      </c>
      <c r="C5" s="4" t="s">
        <v>40</v>
      </c>
      <c r="D5" s="4"/>
      <c r="E5" s="4"/>
      <c r="F5" s="4"/>
      <c r="G5" s="4" t="s">
        <v>41</v>
      </c>
      <c r="H5" s="4" t="s">
        <v>88</v>
      </c>
      <c r="I5" s="4" t="s">
        <v>89</v>
      </c>
      <c r="J5" s="4" t="s">
        <v>90</v>
      </c>
      <c r="K5" s="4" t="s">
        <v>91</v>
      </c>
      <c r="L5" s="4" t="s">
        <v>36</v>
      </c>
      <c r="M5" s="4" t="s">
        <v>37</v>
      </c>
      <c r="N5" s="4" t="s">
        <v>37</v>
      </c>
      <c r="O5" s="4" t="s">
        <v>37</v>
      </c>
      <c r="P5" s="4" t="s">
        <v>37</v>
      </c>
      <c r="Q5" s="4" t="s">
        <v>37</v>
      </c>
      <c r="R5" s="4" t="s">
        <v>37</v>
      </c>
      <c r="S5" s="4" t="s">
        <v>37</v>
      </c>
      <c r="T5" s="4" t="s">
        <v>37</v>
      </c>
      <c r="U5" s="4" t="s">
        <v>37</v>
      </c>
      <c r="V5" s="4" t="s">
        <v>42</v>
      </c>
      <c r="W5" s="4" t="s">
        <v>43</v>
      </c>
      <c r="X5" s="4" t="s">
        <v>44</v>
      </c>
      <c r="Y5" s="4" t="s">
        <v>45</v>
      </c>
      <c r="Z5" s="4" t="s">
        <v>46</v>
      </c>
      <c r="AA5" s="4" t="s">
        <v>92</v>
      </c>
      <c r="AB5" s="4" t="s">
        <v>93</v>
      </c>
      <c r="AC5" s="4" t="s">
        <v>94</v>
      </c>
      <c r="AD5" s="4" t="s">
        <v>47</v>
      </c>
      <c r="AE5" s="4" t="s">
        <v>48</v>
      </c>
      <c r="AF5" s="4" t="s">
        <v>49</v>
      </c>
      <c r="AG5" s="4" t="s">
        <v>50</v>
      </c>
      <c r="AH5" s="4" t="s">
        <v>95</v>
      </c>
      <c r="AI5" s="4" t="s">
        <v>51</v>
      </c>
      <c r="AJ5" s="4" t="s">
        <v>96</v>
      </c>
      <c r="AK5" s="4" t="s">
        <v>52</v>
      </c>
      <c r="AL5" s="4" t="s">
        <v>53</v>
      </c>
      <c r="AM5" s="4" t="s">
        <v>54</v>
      </c>
      <c r="AN5" s="4" t="s">
        <v>55</v>
      </c>
      <c r="AO5" s="4" t="s">
        <v>56</v>
      </c>
      <c r="AP5" s="4" t="s">
        <v>97</v>
      </c>
      <c r="AQ5" s="4" t="s">
        <v>98</v>
      </c>
      <c r="AR5" s="4" t="s">
        <v>99</v>
      </c>
      <c r="AS5" s="4" t="s">
        <v>100</v>
      </c>
      <c r="AT5" s="4" t="s">
        <v>101</v>
      </c>
      <c r="AU5" s="4" t="s">
        <v>102</v>
      </c>
      <c r="AV5" s="4" t="s">
        <v>106</v>
      </c>
      <c r="AW5" s="4" t="s">
        <v>103</v>
      </c>
      <c r="AX5" s="4" t="s">
        <v>54</v>
      </c>
      <c r="AY5" s="4" t="s">
        <v>55</v>
      </c>
      <c r="AZ5" s="4" t="s">
        <v>104</v>
      </c>
      <c r="BA5" s="4" t="s">
        <v>104</v>
      </c>
      <c r="BB5" s="6" t="s">
        <v>82</v>
      </c>
      <c r="BC5" s="4" t="s">
        <v>111</v>
      </c>
      <c r="BD5" s="4" t="s">
        <v>113</v>
      </c>
      <c r="BE5" s="4"/>
    </row>
    <row r="10" spans="1:57" ht="14.25">
      <c r="U10" s="7"/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Sonu Singh</dc:creator>
  <cp:lastModifiedBy>Dhanalakshmi Jayaraman</cp:lastModifiedBy>
  <dcterms:created xsi:type="dcterms:W3CDTF">2025-12-01T12:03:00Z</dcterms:created>
  <dcterms:modified xsi:type="dcterms:W3CDTF">2026-09-15T16:53:00Z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