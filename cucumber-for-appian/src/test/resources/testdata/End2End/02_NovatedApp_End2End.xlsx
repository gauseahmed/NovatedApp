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<sst xmlns="http://schemas.openxmlformats.org/spreadsheetml/2006/main" count="167" uniqueCount="87">
  <si>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</si>
  <si>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</si>
  <si>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</si>
  <si>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</si>
  <si>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</si>
  <si>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</si>
  <si>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</si>
  <si>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</si>
  <si>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</si>
  <si>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</si>
  <si>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</si>
  <si>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</si>
  <si>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</si>
  <si>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</si>
  <si>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</si>
  <si>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</si>
  <si>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</si>
  <si>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</si>
  <si>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</si>
  <si>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</si>
  <si>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</si>
  <si>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</si>
  <si>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</si>
  <si>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</si>
  <si>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</si>
  <si>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</si>
  <si>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</si>
  <si>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</si>
  <si>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</si>
  <si>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</si>
  <si>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</si>
  <si>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</si>
  <si>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</si>
  <si>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</si>
  <si>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</si>
  <si>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</si>
  <si>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</si>
  <si>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</si>
  <si>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10064</t>
  </si>
  <si>
    <t>Service</t>
  </si>
  <si>
    <t>C:\Automation\Test cases Novated App\Filestoupload\Invoice.pdf</t>
  </si>
  <si>
    <t>Option 1</t>
  </si>
  <si>
    <t>N/A</t>
  </si>
  <si>
    <t>5 May 2026</t>
  </si>
  <si>
    <t>28 Apr 2026</t>
  </si>
  <si>
    <t>REQ-654</t>
  </si>
  <si>
    <t>C:\Automation\Test cases Novated App\Filestoupload\Service.pdf</t>
  </si>
  <si>
    <t>Mr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</si>
  <si>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</si>
  <si>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</si>
  <si>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</si>
  <si>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</si>
  <si>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</si>
  <si>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</si>
  <si>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</si>
  <si>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</si>
  <si>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</si>
  <si>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</si>
  <si>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</si>
  <si>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</si>
  <si>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</si>
  <si>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</si>
  <si>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</si>
  <si>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</si>
  <si>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</si>
  <si>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</si>
  <si>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</si>
  <si>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</si>
  <si>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FTJ63Y</t>
  </si>
  <si>
    <t>VOLVO XC40</t>
  </si>
  <si>
    <t>100700</t>
  </si>
  <si>
    <t>David</t>
  </si>
  <si>
    <t>Cracknell</t>
  </si>
  <si>
    <t>13/01/1988</t>
  </si>
  <si>
    <t>0409999999</t>
  </si>
  <si>
    <t>david.cracknell@keyton.com.au.test</t>
  </si>
  <si>
    <t>Your Residential Address *</t>
  </si>
  <si>
    <t>KEYTON MANAGEMENT SERVICES PTY LTD AS TRUSTEE FOR KEYTON MANAGEMENT SERVICES TRUST</t>
  </si>
  <si>
    <t>6 May 2026</t>
  </si>
  <si>
    <t>19 May 2026</t>
  </si>
  <si>
    <t>REQ-715</t>
  </si>
  <si>
    <t>100701</t>
  </si>
  <si>
    <t>REQ-720</t>
  </si>
  <si>
    <t>100702</t>
  </si>
  <si>
    <t>REQ-723</t>
  </si>
  <si>
    <t>100703</t>
  </si>
  <si>
    <t>REQ-730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</si>
</sst>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"/>
  <sheetViews>
    <sheetView tabSelected="1" topLeftCell="U1" workbookViewId="0">
      <selection activeCell="AG1" sqref="AG1:AJ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69" spans="1:3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</row>
    <row r="2" s="2" customFormat="1" ht="55.2" spans="1:36">
      <c r="A2" s="4" t="s">
        <v>36</v>
      </c>
      <c r="B2" s="4" t="s">
        <v>37</v>
      </c>
      <c r="C2" s="5" t="s">
        <v>85</v>
      </c>
      <c r="D2" s="6" t="n">
        <f>C2+1</f>
        <v>100704.0</v>
      </c>
      <c r="E2" s="6" t="n">
        <f>D2</f>
        <v>100704.0</v>
      </c>
      <c r="F2" s="4" t="s">
        <v>39</v>
      </c>
      <c r="G2" s="4">
        <v>400</v>
      </c>
      <c r="H2" s="4" t="s">
        <v>40</v>
      </c>
      <c r="I2" s="4" t="s">
        <v>41</v>
      </c>
      <c r="J2" s="4" t="s">
        <v>42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 t="s">
        <v>42</v>
      </c>
      <c r="S2" s="4" t="s">
        <v>79</v>
      </c>
      <c r="T2" s="4" t="s">
        <v>79</v>
      </c>
      <c r="U2" s="4" t="s">
        <v>86</v>
      </c>
      <c r="V2" s="7" t="str">
        <f>TEXT(E2,"#,##0")&amp;" km"</f>
        <v>100,704 km</v>
      </c>
      <c r="W2" s="7" t="s">
        <v>46</v>
      </c>
      <c r="X2" s="7" t="s">
        <v>47</v>
      </c>
      <c r="Y2" s="7" t="s">
        <v>71</v>
      </c>
      <c r="Z2" s="7" t="s">
        <v>72</v>
      </c>
      <c r="AA2" s="7" t="str">
        <f>_xlfn.CONCAT(Y2," ",Z2)</f>
        <v>David Cracknell</v>
      </c>
      <c r="AB2" s="7" t="s">
        <v>73</v>
      </c>
      <c r="AC2" s="7" t="s">
        <v>74</v>
      </c>
      <c r="AD2" s="7" t="s">
        <v>75</v>
      </c>
      <c r="AE2" s="7" t="s">
        <v>76</v>
      </c>
      <c r="AF2" s="7" t="s">
        <v>77</v>
      </c>
      <c r="AG2" s="7" t="str">
        <f>AI2&amp;" - "&amp;AH2</f>
        <v>VOLVO XC40 - FTJ63Y</v>
      </c>
      <c r="AH2" s="7" t="s">
        <v>68</v>
      </c>
      <c r="AI2" s="7" t="s">
        <v>69</v>
      </c>
      <c r="AJ2" s="7"/>
    </row>
    <row r="3" s="2" customFormat="1" ht="82.8" spans="1:36">
      <c r="A3" s="4" t="s">
        <v>48</v>
      </c>
      <c r="B3" s="4" t="s">
        <v>37</v>
      </c>
      <c r="C3" s="4" t="s">
        <v>49</v>
      </c>
      <c r="D3" s="4"/>
      <c r="E3" s="4" t="s">
        <v>50</v>
      </c>
      <c r="F3" s="4" t="s">
        <v>39</v>
      </c>
      <c r="G3" s="4">
        <v>400</v>
      </c>
      <c r="H3" s="4"/>
      <c r="I3" s="4" t="s">
        <v>41</v>
      </c>
      <c r="J3" s="4" t="s">
        <v>42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51</v>
      </c>
      <c r="T3" s="4" t="s">
        <v>52</v>
      </c>
      <c r="U3" s="4" t="s">
        <v>53</v>
      </c>
      <c r="V3" s="4" t="s">
        <v>54</v>
      </c>
      <c r="W3" s="4"/>
      <c r="X3" s="4" t="s">
        <v>55</v>
      </c>
      <c r="Y3" s="4" t="s">
        <v>56</v>
      </c>
      <c r="Z3" s="4" t="s">
        <v>57</v>
      </c>
      <c r="AA3" s="4" t="s">
        <v>58</v>
      </c>
      <c r="AB3" s="4" t="s">
        <v>59</v>
      </c>
      <c r="AC3" s="4" t="s">
        <v>60</v>
      </c>
      <c r="AD3" s="4" t="s">
        <v>61</v>
      </c>
      <c r="AE3" s="4" t="s">
        <v>62</v>
      </c>
      <c r="AF3" s="4" t="s">
        <v>63</v>
      </c>
      <c r="AG3" s="4" t="s">
        <v>64</v>
      </c>
      <c r="AH3" s="4" t="s">
        <v>65</v>
      </c>
      <c r="AI3" s="4" t="s">
        <v>66</v>
      </c>
      <c r="AJ3" s="4" t="s">
        <v>67</v>
      </c>
    </row>
    <row r="4" spans="1:36">
      <c r="E4" s="8"/>
    </row>
    <row r="9" spans="1:36">
      <c r="U9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2026-05-12T04:17:13Z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