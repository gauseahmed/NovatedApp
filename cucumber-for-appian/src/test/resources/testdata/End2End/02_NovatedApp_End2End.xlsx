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<sst xmlns="http://schemas.openxmlformats.org/spreadsheetml/2006/main" count="241" uniqueCount="114">
  <si>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</si>
  <si>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</si>
  <si>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</si>
  <si>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</si>
  <si>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</si>
  <si>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</si>
  <si>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</si>
  <si>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</si>
  <si>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</si>
  <si>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</si>
  <si>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</si>
  <si>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</si>
  <si>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</si>
  <si>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</si>
  <si>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</si>
  <si>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</si>
  <si>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</si>
  <si>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</si>
  <si>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</si>
  <si>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</si>
  <si>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</si>
  <si>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</si>
  <si>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Service Document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</si>
  <si>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</si>
  <si>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</si>
  <si>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</si>
  <si>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</si>
  <si>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</si>
  <si>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</si>
  <si>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</si>
  <si>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</si>
  <si>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</si>
  <si>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</si>
  <si>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</si>
  <si>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</si>
  <si>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</si>
  <si>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TC001</t>
  </si>
  <si>
    <t>Reimbursement Claim</t>
  </si>
  <si>
    <t>10064</t>
  </si>
  <si>
    <t>Service</t>
  </si>
  <si>
    <t>C:\Automation\Test cases Novated App\Filestoupload\Invoice.pdf</t>
  </si>
  <si>
    <t>Option 1</t>
  </si>
  <si>
    <t>N/A</t>
  </si>
  <si>
    <t>5 May 2026</t>
  </si>
  <si>
    <t>28 Apr 2026</t>
  </si>
  <si>
    <t>REQ-654</t>
  </si>
  <si>
    <t>C:\Automation\Test cases Novated App\Filestoupload\Service.pdf</t>
  </si>
  <si>
    <t>Mr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</si>
  <si>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</si>
  <si>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</si>
  <si>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</si>
  <si>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</si>
  <si>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</si>
  <si>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</si>
  <si>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</si>
  <si>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</si>
  <si>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</si>
  <si>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</si>
  <si>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</si>
  <si>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</si>
  <si>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</si>
  <si>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</si>
  <si>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</si>
  <si>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</si>
  <si>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</si>
  <si>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</si>
  <si>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</si>
  <si>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${TC001.Lease End Date}</t>
  </si>
  <si>
    <t>FTJ63Y</t>
  </si>
  <si>
    <t>VOLVO XC40</t>
  </si>
  <si>
    <t>100700</t>
  </si>
  <si>
    <t>David</t>
  </si>
  <si>
    <t>Cracknell</t>
  </si>
  <si>
    <t>13/01/1988</t>
  </si>
  <si>
    <t>0409999999</t>
  </si>
  <si>
    <t>david.cracknell@keyton.com.au.test</t>
  </si>
  <si>
    <t>Your Residential Address *</t>
  </si>
  <si>
    <t>KEYTON MANAGEMENT SERVICES PTY LTD AS TRUSTEE FOR KEYTON MANAGEMENT SERVICES TRUST</t>
  </si>
  <si>
    <t>6 May 2026</t>
  </si>
  <si>
    <t>19 May 2026</t>
  </si>
  <si>
    <t>REQ-715</t>
  </si>
  <si>
    <t>100701</t>
  </si>
  <si>
    <t>REQ-720</t>
  </si>
  <si>
    <t>100702</t>
  </si>
  <si>
    <t>REQ-723</t>
  </si>
  <si>
    <t>100703</t>
  </si>
  <si>
    <t>REQ-730</t>
  </si>
  <si>
    <t>CYP806</t>
  </si>
  <si>
    <t>TESLA MODEL Y</t>
  </si>
  <si>
    <t>8062</t>
  </si>
  <si>
    <t>Neeti</t>
  </si>
  <si>
    <t>Tripathi</t>
  </si>
  <si>
    <t>03 Jul 1993</t>
  </si>
  <si>
    <t>0499656877</t>
  </si>
  <si>
    <t>neeti.tripathi@kmart.com.au.test</t>
  </si>
  <si>
    <t>Kmart Australia Limited</t>
  </si>
  <si>
    <t>29 Jul 2026</t>
  </si>
  <si>
    <t>REQ-158</t>
  </si>
  <si>
    <t>8063</t>
  </si>
  <si>
    <t>REQ-159</t>
  </si>
  <si>
    <t>8064</t>
  </si>
  <si>
    <t>REQ-160</t>
  </si>
  <si>
    <t>FTV21M</t>
  </si>
  <si>
    <t>MAZDA CX-5</t>
  </si>
  <si>
    <t>134449</t>
  </si>
  <si>
    <t>Toshihiko</t>
  </si>
  <si>
    <t>Inafune</t>
  </si>
  <si>
    <t>05 Jun 1995</t>
  </si>
  <si>
    <t>0469750861</t>
  </si>
  <si>
    <t>inafune@jfcaust.com.au.test</t>
  </si>
  <si>
    <t>JFC Australia Co Pty Ltd</t>
  </si>
  <si>
    <t>20 Aug 2026</t>
  </si>
  <si>
    <t>134450</t>
  </si>
  <si>
    <t>REQ-1657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</si>
</sst>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haredStrings.xml" Type="http://schemas.openxmlformats.org/officeDocument/2006/relationships/sharedStrings"/><Relationship Id="rId4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9"/>
  <sheetViews>
    <sheetView tabSelected="1" topLeftCell="U1" workbookViewId="0">
      <selection activeCell="AG1" sqref="AG1:AJ3"/>
    </sheetView>
  </sheetViews>
  <sheetFormatPr defaultColWidth="8.89166666666667" defaultRowHeight="13.8"/>
  <cols>
    <col min="1" max="1" customWidth="true" width="8.55833333333333"/>
    <col min="2" max="2" customWidth="true" width="20.7"/>
    <col min="3" max="4" customWidth="true" width="24.3333333333333"/>
    <col min="5" max="5" customWidth="true" width="27.3333333333333"/>
    <col min="6" max="6" customWidth="true" width="16.775"/>
    <col min="7" max="7" customWidth="true" width="15.3333333333333"/>
    <col min="8" max="8" customWidth="true" width="21.775"/>
    <col min="9" max="9" customWidth="true" width="18.6666666666667"/>
    <col min="10" max="10" customWidth="true" width="23.775"/>
    <col min="11" max="11" customWidth="true" width="17.225"/>
    <col min="12" max="12" customWidth="true" width="19.8916666666667"/>
    <col min="13" max="13" customWidth="true" width="20.6666666666667"/>
    <col min="14" max="14" customWidth="true" width="17.5583333333333"/>
    <col min="15" max="15" customWidth="true" width="14.6666666666667"/>
    <col min="16" max="16" customWidth="true" width="19.3333333333333"/>
    <col min="17" max="17" customWidth="true" width="18.4416666666667"/>
    <col min="18" max="23" customWidth="true" width="19.1083333333333"/>
  </cols>
  <sheetData>
    <row r="1" s="1" customFormat="1" ht="69" spans="1:3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</row>
    <row r="2" s="2" customFormat="1" ht="55.2" spans="1:36">
      <c r="A2" s="4" t="s">
        <v>36</v>
      </c>
      <c r="B2" s="4" t="s">
        <v>37</v>
      </c>
      <c r="C2" s="5" t="s">
        <v>112</v>
      </c>
      <c r="D2" s="6" t="n">
        <f>C2+1</f>
        <v>134451.0</v>
      </c>
      <c r="E2" s="6" t="n">
        <f>D2</f>
        <v>134451.0</v>
      </c>
      <c r="F2" s="4" t="s">
        <v>39</v>
      </c>
      <c r="G2" s="4">
        <v>400</v>
      </c>
      <c r="H2" s="4" t="s">
        <v>40</v>
      </c>
      <c r="I2" s="4" t="s">
        <v>41</v>
      </c>
      <c r="J2" s="4" t="s">
        <v>42</v>
      </c>
      <c r="K2" s="4" t="s">
        <v>42</v>
      </c>
      <c r="L2" s="4" t="s">
        <v>42</v>
      </c>
      <c r="M2" s="4" t="s">
        <v>42</v>
      </c>
      <c r="N2" s="4" t="s">
        <v>42</v>
      </c>
      <c r="O2" s="4" t="s">
        <v>42</v>
      </c>
      <c r="P2" s="4" t="s">
        <v>42</v>
      </c>
      <c r="Q2" s="4" t="s">
        <v>42</v>
      </c>
      <c r="R2" s="4" t="s">
        <v>42</v>
      </c>
      <c r="S2" s="4" t="s">
        <v>111</v>
      </c>
      <c r="T2" s="4" t="s">
        <v>111</v>
      </c>
      <c r="U2" s="4" t="s">
        <v>113</v>
      </c>
      <c r="V2" s="7" t="str">
        <f>TEXT(E2,"#,##0")&amp;" km"</f>
        <v>134,451 km</v>
      </c>
      <c r="W2" s="7" t="s">
        <v>46</v>
      </c>
      <c r="X2" s="7" t="s">
        <v>47</v>
      </c>
      <c r="Y2" s="7" t="s">
        <v>105</v>
      </c>
      <c r="Z2" s="7" t="s">
        <v>106</v>
      </c>
      <c r="AA2" s="7" t="str">
        <f>_xlfn.CONCAT(Y2," ",Z2)</f>
        <v>Toshihiko Inafune</v>
      </c>
      <c r="AB2" s="7" t="s">
        <v>107</v>
      </c>
      <c r="AC2" s="7" t="s">
        <v>108</v>
      </c>
      <c r="AD2" s="7" t="s">
        <v>109</v>
      </c>
      <c r="AE2" s="7" t="s">
        <v>76</v>
      </c>
      <c r="AF2" s="7" t="s">
        <v>110</v>
      </c>
      <c r="AG2" s="7" t="str">
        <f>AI2&amp;" - "&amp;AH2</f>
        <v>MAZDA CX-5 - FTV21M</v>
      </c>
      <c r="AH2" s="7" t="s">
        <v>102</v>
      </c>
      <c r="AI2" s="7" t="s">
        <v>103</v>
      </c>
      <c r="AJ2" s="7"/>
    </row>
    <row r="3" s="2" customFormat="1" ht="82.8" spans="1:36">
      <c r="A3" s="4" t="s">
        <v>48</v>
      </c>
      <c r="B3" s="4" t="s">
        <v>37</v>
      </c>
      <c r="C3" s="4" t="s">
        <v>49</v>
      </c>
      <c r="D3" s="4"/>
      <c r="E3" s="4" t="s">
        <v>50</v>
      </c>
      <c r="F3" s="4" t="s">
        <v>39</v>
      </c>
      <c r="G3" s="4">
        <v>400</v>
      </c>
      <c r="H3" s="4"/>
      <c r="I3" s="4" t="s">
        <v>41</v>
      </c>
      <c r="J3" s="4" t="s">
        <v>42</v>
      </c>
      <c r="K3" s="4" t="s">
        <v>42</v>
      </c>
      <c r="L3" s="4" t="s">
        <v>42</v>
      </c>
      <c r="M3" s="4" t="s">
        <v>42</v>
      </c>
      <c r="N3" s="4" t="s">
        <v>42</v>
      </c>
      <c r="O3" s="4" t="s">
        <v>42</v>
      </c>
      <c r="P3" s="4" t="s">
        <v>42</v>
      </c>
      <c r="Q3" s="4" t="s">
        <v>42</v>
      </c>
      <c r="R3" s="4" t="s">
        <v>42</v>
      </c>
      <c r="S3" s="4" t="s">
        <v>51</v>
      </c>
      <c r="T3" s="4" t="s">
        <v>52</v>
      </c>
      <c r="U3" s="4" t="s">
        <v>53</v>
      </c>
      <c r="V3" s="4" t="s">
        <v>54</v>
      </c>
      <c r="W3" s="4"/>
      <c r="X3" s="4" t="s">
        <v>55</v>
      </c>
      <c r="Y3" s="4" t="s">
        <v>56</v>
      </c>
      <c r="Z3" s="4" t="s">
        <v>57</v>
      </c>
      <c r="AA3" s="4" t="s">
        <v>58</v>
      </c>
      <c r="AB3" s="4" t="s">
        <v>59</v>
      </c>
      <c r="AC3" s="4" t="s">
        <v>60</v>
      </c>
      <c r="AD3" s="4" t="s">
        <v>61</v>
      </c>
      <c r="AE3" s="4" t="s">
        <v>62</v>
      </c>
      <c r="AF3" s="4" t="s">
        <v>63</v>
      </c>
      <c r="AG3" s="4" t="s">
        <v>64</v>
      </c>
      <c r="AH3" s="4" t="s">
        <v>65</v>
      </c>
      <c r="AI3" s="4" t="s">
        <v>66</v>
      </c>
      <c r="AJ3" s="4" t="s">
        <v>67</v>
      </c>
    </row>
    <row r="4" spans="1:36">
      <c r="E4" s="8"/>
    </row>
    <row r="9" spans="1:36">
      <c r="U9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Gause Ahmed Mohamed Ansar</cp:lastModifiedBy>
  <dcterms:modified xsi:type="dcterms:W3CDTF">2026-05-12T04:17:13Z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