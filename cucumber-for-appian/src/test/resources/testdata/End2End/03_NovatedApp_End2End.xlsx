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<sst xmlns="http://schemas.openxmlformats.org/spreadsheetml/2006/main" count="224" uniqueCount="107">
  <si>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</si>
  <si>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</si>
  <si>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</si>
  <si>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</si>
  <si>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</si>
  <si>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</si>
  <si>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</si>
  <si>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</si>
  <si>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</si>
  <si>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</si>
  <si>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</si>
  <si>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</si>
  <si>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</si>
  <si>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</si>
  <si>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</si>
  <si>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</si>
  <si>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</si>
  <si>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</si>
  <si>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</si>
  <si>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</si>
  <si>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</si>
  <si>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</si>
  <si>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Tax Invoice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</si>
  <si>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</si>
  <si>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</si>
  <si>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</si>
  <si>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</si>
  <si>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</si>
  <si>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</si>
  <si>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</si>
  <si>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</si>
  <si>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</si>
  <si>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</si>
  <si>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</si>
  <si>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</si>
  <si>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</si>
  <si>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Remittance Advice</t>
  </si>
  <si>
    <t>TC001</t>
  </si>
  <si>
    <t>Reimbursement Claim</t>
  </si>
  <si>
    <t>5212</t>
  </si>
  <si>
    <t>Maintenance</t>
  </si>
  <si>
    <t>C:\Automation\Test cases Novated App\Filestoupload\Invoice.pdf</t>
  </si>
  <si>
    <t>N/A</t>
  </si>
  <si>
    <t>Vehicle General maintenance has been completed</t>
  </si>
  <si>
    <t>13 May 2026</t>
  </si>
  <si>
    <t>12 May 2026</t>
  </si>
  <si>
    <t>REQ-688</t>
  </si>
  <si>
    <t>C:\Automation\Test cases Novated App\Filestoupload\TaxInvoice.pdf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</si>
  <si>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</si>
  <si>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</si>
  <si>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</si>
  <si>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</si>
  <si>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</si>
  <si>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</si>
  <si>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</si>
  <si>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</si>
  <si>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C:\Automation\Test cases Novated App\Filestoupload\RemittanceAdvice.pdf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</si>
  <si>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</si>
  <si>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</si>
  <si>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</si>
  <si>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</si>
  <si>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</si>
  <si>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</si>
  <si>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</si>
  <si>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</si>
  <si>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</si>
  <si>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</si>
  <si>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</si>
  <si>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</si>
  <si>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</si>
  <si>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</si>
  <si>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</si>
  <si>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</si>
  <si>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</si>
  <si>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</si>
  <si>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</si>
  <si>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</si>
  <si>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CPK418</t>
  </si>
  <si>
    <t>VOLVO C40</t>
  </si>
  <si>
    <t>5214</t>
  </si>
  <si>
    <t>19 May 2026</t>
  </si>
  <si>
    <t>REQ-716</t>
  </si>
  <si>
    <t>5215</t>
  </si>
  <si>
    <t>REQ-717</t>
  </si>
  <si>
    <t>5216</t>
  </si>
  <si>
    <t>REQ-718</t>
  </si>
  <si>
    <t>5217</t>
  </si>
  <si>
    <t>REQ-721</t>
  </si>
  <si>
    <t>5218</t>
  </si>
  <si>
    <t>REQ-724</t>
  </si>
  <si>
    <t>5219</t>
  </si>
  <si>
    <t>REQ-731</t>
  </si>
  <si>
    <t>CYP806</t>
  </si>
  <si>
    <t>TESLA MODEL Y</t>
  </si>
  <si>
    <t>11 Jun 2027</t>
  </si>
  <si>
    <t>8025</t>
  </si>
  <si>
    <t>Neeti</t>
  </si>
  <si>
    <t>Tripathi</t>
  </si>
  <si>
    <t>03 Jul 1993</t>
  </si>
  <si>
    <t>0499656877</t>
  </si>
  <si>
    <t>neeti.tripathi@kmart.com.au.test</t>
  </si>
  <si>
    <t>Kmart Australia Limited</t>
  </si>
  <si>
    <t>27 Jul 2026</t>
  </si>
  <si>
    <t>REQ-121</t>
  </si>
  <si>
    <t>8065</t>
  </si>
  <si>
    <t>29 Jul 2026</t>
  </si>
  <si>
    <t>REQ-161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</si>
</sst>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0"/>
  <sheetViews>
    <sheetView tabSelected="1" topLeftCell="V1" workbookViewId="0">
      <selection activeCell="AK8" sqref="AK8:AK11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  <col min="24" max="24" customWidth="true" width="12.5"/>
    <col min="25" max="25" customWidth="true" width="8.3"/>
    <col min="26" max="26" customWidth="true" width="15.9"/>
    <col min="36" max="36" customWidth="true" width="11.8"/>
    <col min="37" max="37" customWidth="true" width="15.4"/>
  </cols>
  <sheetData>
    <row r="1" s="1" customFormat="1" ht="69" spans="1:3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</row>
    <row r="2" s="2" customFormat="1" ht="69" spans="1:37">
      <c r="A2" s="4" t="s">
        <v>37</v>
      </c>
      <c r="B2" s="4" t="s">
        <v>38</v>
      </c>
      <c r="C2" s="5" t="s">
        <v>104</v>
      </c>
      <c r="D2" s="6" t="n">
        <f>C2+1</f>
        <v>8066.0</v>
      </c>
      <c r="E2" s="6" t="n">
        <f>D2</f>
        <v>8066.0</v>
      </c>
      <c r="F2" s="4" t="s">
        <v>40</v>
      </c>
      <c r="G2" s="4">
        <v>600</v>
      </c>
      <c r="H2" s="4" t="s">
        <v>41</v>
      </c>
      <c r="I2" s="4" t="s">
        <v>42</v>
      </c>
      <c r="J2" s="4" t="s">
        <v>43</v>
      </c>
      <c r="K2" s="4" t="s">
        <v>42</v>
      </c>
      <c r="L2" s="4" t="s">
        <v>42</v>
      </c>
      <c r="M2" s="4" t="s">
        <v>42</v>
      </c>
      <c r="N2" s="4" t="s">
        <v>42</v>
      </c>
      <c r="O2" s="4" t="s">
        <v>42</v>
      </c>
      <c r="P2" s="4" t="s">
        <v>42</v>
      </c>
      <c r="Q2" s="4" t="s">
        <v>42</v>
      </c>
      <c r="R2" s="4" t="s">
        <v>42</v>
      </c>
      <c r="S2" s="4" t="s">
        <v>105</v>
      </c>
      <c r="T2" s="4" t="s">
        <v>105</v>
      </c>
      <c r="U2" s="4" t="s">
        <v>106</v>
      </c>
      <c r="V2" s="7" t="str">
        <f>TEXT(E2,"#,##0")&amp;" km"</f>
        <v>8,066 km</v>
      </c>
      <c r="W2" s="7" t="s">
        <v>47</v>
      </c>
      <c r="X2" s="7" t="s">
        <v>48</v>
      </c>
      <c r="Y2" s="7" t="s">
        <v>96</v>
      </c>
      <c r="Z2" s="7" t="s">
        <v>97</v>
      </c>
      <c r="AA2" s="7" t="str">
        <f>_xlfn.CONCAT(Y2," ",Z2)</f>
        <v>Neeti Tripathi</v>
      </c>
      <c r="AB2" s="7" t="s">
        <v>98</v>
      </c>
      <c r="AC2" s="7" t="s">
        <v>99</v>
      </c>
      <c r="AD2" s="7" t="s">
        <v>100</v>
      </c>
      <c r="AE2" s="7" t="s">
        <v>54</v>
      </c>
      <c r="AF2" s="7" t="s">
        <v>101</v>
      </c>
      <c r="AG2" s="7" t="str">
        <f>AI2&amp;" - "&amp;AH2</f>
        <v>TESLA MODEL Y - CYP806</v>
      </c>
      <c r="AH2" s="7" t="s">
        <v>92</v>
      </c>
      <c r="AI2" s="7" t="s">
        <v>93</v>
      </c>
      <c r="AJ2" s="7" t="s">
        <v>94</v>
      </c>
      <c r="AK2" s="7" t="s">
        <v>56</v>
      </c>
    </row>
    <row r="3" s="2" customFormat="1" ht="82.8" spans="1:37">
      <c r="A3" s="4" t="s">
        <v>57</v>
      </c>
      <c r="B3" s="4" t="s">
        <v>38</v>
      </c>
      <c r="C3" s="4" t="s">
        <v>58</v>
      </c>
      <c r="D3" s="4"/>
      <c r="E3" s="4" t="s">
        <v>59</v>
      </c>
      <c r="F3" s="4" t="s">
        <v>40</v>
      </c>
      <c r="G3" s="4">
        <v>600</v>
      </c>
      <c r="H3" s="4" t="s">
        <v>41</v>
      </c>
      <c r="I3" s="4" t="s">
        <v>42</v>
      </c>
      <c r="J3" s="4" t="s">
        <v>43</v>
      </c>
      <c r="K3" s="4" t="s">
        <v>42</v>
      </c>
      <c r="L3" s="4" t="s">
        <v>42</v>
      </c>
      <c r="M3" s="4" t="s">
        <v>42</v>
      </c>
      <c r="N3" s="4" t="s">
        <v>42</v>
      </c>
      <c r="O3" s="4" t="s">
        <v>42</v>
      </c>
      <c r="P3" s="4" t="s">
        <v>42</v>
      </c>
      <c r="Q3" s="4" t="s">
        <v>42</v>
      </c>
      <c r="R3" s="4" t="s">
        <v>42</v>
      </c>
      <c r="S3" s="4" t="s">
        <v>60</v>
      </c>
      <c r="T3" s="4" t="s">
        <v>61</v>
      </c>
      <c r="U3" s="4" t="s">
        <v>62</v>
      </c>
      <c r="V3" s="4" t="s">
        <v>63</v>
      </c>
      <c r="W3" s="4"/>
      <c r="X3" s="4" t="s">
        <v>64</v>
      </c>
      <c r="Y3" s="4" t="s">
        <v>65</v>
      </c>
      <c r="Z3" s="4" t="s">
        <v>66</v>
      </c>
      <c r="AA3" s="4" t="s">
        <v>67</v>
      </c>
      <c r="AB3" s="4" t="s">
        <v>68</v>
      </c>
      <c r="AC3" s="4" t="s">
        <v>69</v>
      </c>
      <c r="AD3" s="4" t="s">
        <v>70</v>
      </c>
      <c r="AE3" s="4" t="s">
        <v>71</v>
      </c>
      <c r="AF3" s="4" t="s">
        <v>72</v>
      </c>
      <c r="AG3" s="4" t="s">
        <v>73</v>
      </c>
      <c r="AH3" s="4" t="s">
        <v>74</v>
      </c>
      <c r="AI3" s="4" t="s">
        <v>75</v>
      </c>
      <c r="AJ3" s="4" t="s">
        <v>76</v>
      </c>
      <c r="AK3" s="4"/>
    </row>
    <row r="5" spans="1:37">
      <c r="E5" s="8"/>
    </row>
    <row r="10" spans="1:3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2026-05-13T05:27:32Z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