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>
    <mc:Choice Requires="x15">
      <x15ac:absPath xmlns:x15ac="http://schemas.microsoft.com/office/spreadsheetml/2010/11/ac" url="C:\Users\dhana\IdeaProjects\NovatedApp\cucumber-for-appian\src\test\resources\testdata\End2End\"/>
    </mc:Choice>
  </mc:AlternateContent>
  <xr:revisionPtr revIDLastSave="0" documentId="13_ncr:1_{94460AE0-3EBB-4A90-8E79-674D82DC90F3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4" l="1"/>
  <c r="AE2" i="14"/>
  <c r="V2" i="14"/>
</calcChain>
</file>

<file path=xl/sharedStrings.xml><?xml version="1.0" encoding="utf-8"?>
<sst xmlns="http://schemas.openxmlformats.org/spreadsheetml/2006/main" count="160" uniqueCount="106">
  <si>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</si>
  <si>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</si>
  <si>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</si>
  <si>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</si>
  <si>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</si>
  <si>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</si>
  <si>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</si>
  <si>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</si>
  <si>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</si>
  <si>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</si>
  <si>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</si>
  <si>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</si>
  <si>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</si>
  <si>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</si>
  <si>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</si>
  <si>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</si>
  <si>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</si>
  <si>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</si>
  <si>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</si>
  <si>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</si>
  <si>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</si>
  <si>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</si>
  <si>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Fuel Provider</t>
  </si>
  <si>
    <t>Delivery Address</t>
  </si>
  <si>
    <t>Request Submission Date</t>
  </si>
  <si>
    <t>Last Update Date</t>
  </si>
  <si>
    <t>Request Subtype</t>
  </si>
  <si>
    <t>Driver Salutation</t>
  </si>
  <si>
    <t>Driver Name</t>
  </si>
  <si>
    <t>Driver Date of Birth</t>
  </si>
  <si>
    <t>Driver Mobile Phone</t>
  </si>
  <si>
    <t>Driver Email</t>
  </si>
  <si>
    <t>Driver Your Residential Address</t>
  </si>
  <si>
    <t>Driver Employer Name</t>
  </si>
  <si>
    <t>Vehicle</t>
  </si>
  <si>
    <t>Vehicle number</t>
  </si>
  <si>
    <t>Vehicle name</t>
  </si>
  <si>
    <t>Lease End Date</t>
  </si>
  <si>
    <t>Fuel Card Number</t>
  </si>
  <si>
    <t>TC001</t>
  </si>
  <si>
    <t>Fuel Card</t>
  </si>
  <si>
    <t>N/A</t>
  </si>
  <si>
    <t>Lost</t>
  </si>
  <si>
    <t>REQ-166</t>
  </si>
  <si>
    <t>ORIX Motorpass</t>
  </si>
  <si>
    <t>30 Jul 2026 05:27 PM</t>
  </si>
  <si>
    <t>Replacement</t>
  </si>
  <si>
    <t>Shakya</t>
  </si>
  <si>
    <t>27 Jun 1986</t>
  </si>
  <si>
    <t>333665987</t>
  </si>
  <si>
    <t>sudeep.shakya@outlook.com.test</t>
  </si>
  <si>
    <t>Your Residential Address *</t>
  </si>
  <si>
    <t>QBE Management Services Pty Ltd</t>
  </si>
  <si>
    <t>25 Sept 2026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</si>
  <si>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</si>
  <si>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</si>
  <si>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</si>
  <si>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</si>
  <si>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</si>
  <si>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</si>
  <si>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</si>
  <si>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${TC001.Fuel Provider}</t>
  </si>
  <si>
    <t>${TC001.Delivery Address}</t>
  </si>
  <si>
    <t>${TC001.Request Submission Date}</t>
  </si>
  <si>
    <t>${TC001.Last Update Date}</t>
  </si>
  <si>
    <t>${TC001.Request Subtype}</t>
  </si>
  <si>
    <t>${TC001.Driver Salutation}</t>
  </si>
  <si>
    <t>${TC001.Driver First Name}</t>
  </si>
  <si>
    <t>${TC001.Driver Last Name}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</si>
  <si>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</si>
  <si>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</si>
  <si>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</si>
  <si>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</si>
  <si>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</si>
  <si>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</si>
  <si>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</si>
  <si>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</si>
  <si>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</si>
  <si>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</si>
  <si>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No Number Info</t>
  </si>
  <si>
    <t>Notifications (0)</t>
  </si>
  <si>
    <t>There are no Current quotes to display</t>
  </si>
  <si>
    <t>Legal First Name</t>
  </si>
  <si>
    <t>Legal Last Name</t>
  </si>
  <si>
    <t>Latest Reading (kms)
21,000 km</t>
  </si>
  <si>
    <t>-</t>
  </si>
  <si>
    <t>ARRJKJY</t>
  </si>
  <si>
    <t>59 Sydney Road GNANGARA WA 6077</t>
  </si>
  <si>
    <t>Latest Reading (kms)
86,510 km</t>
  </si>
  <si>
    <t>Miss</t>
  </si>
  <si>
    <t>SXBHG</t>
  </si>
  <si>
    <t>WHKDOPZ</t>
  </si>
  <si>
    <t>0412 345 678</t>
  </si>
  <si>
    <t>10581@omsrefresh.com</t>
  </si>
  <si>
    <t>Komatsu Australia Pty Ltd</t>
  </si>
  <si>
    <t>Latest Reading (kms)
86,521 km</t>
  </si>
  <si>
    <t>Latest Reading (kms)
89,062 km</t>
  </si>
  <si>
    <t>Latest Reading (kms)
89,166 km</t>
  </si>
  <si>
    <t>Latest Reading (kms)
21,028 km</t>
  </si>
  <si>
    <t>Mr</t>
  </si>
  <si>
    <t>ALFVU</t>
  </si>
  <si>
    <t>ZZNXTGSP</t>
  </si>
  <si>
    <t>0455 512 334</t>
  </si>
  <si>
    <t>139638@omsrefresh.com</t>
  </si>
  <si>
    <t>BHP Iron Ore Pty Ltd</t>
  </si>
  <si>
    <t>83 Fulham Rd ALPHINGTON VIC 3078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</si>
</sst>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topLeftCell="K1" workbookViewId="0">
      <selection activeCell="P2" sqref="P2"/>
    </sheetView>
  </sheetViews>
  <sheetFormatPr defaultColWidth="8.875" defaultRowHeight="13.5"/>
  <cols>
    <col min="1" max="1" customWidth="true" width="8.5"/>
    <col min="2" max="2" customWidth="true" width="20.7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2" customWidth="true" width="19.125"/>
    <col min="23" max="23" customWidth="true" width="20.75"/>
    <col min="24" max="24" customWidth="true" width="24.625"/>
    <col min="25" max="25" customWidth="true" width="29.75"/>
    <col min="26" max="27" customWidth="true" width="24.5"/>
  </cols>
  <sheetData>
    <row r="1" spans="1:41" s="1" customFormat="1" ht="8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82</v>
      </c>
      <c r="AD1" s="3" t="s">
        <v>83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</row>
    <row r="2" spans="1:41" s="2" customFormat="1" ht="121.5">
      <c r="A2" s="4" t="s">
        <v>39</v>
      </c>
      <c r="B2" s="4" t="s">
        <v>40</v>
      </c>
      <c r="C2" s="4" t="s">
        <v>98</v>
      </c>
      <c r="D2" s="5"/>
      <c r="E2" s="5"/>
      <c r="F2" s="4"/>
      <c r="G2" s="4"/>
      <c r="H2" s="4"/>
      <c r="I2" s="4" t="s">
        <v>41</v>
      </c>
      <c r="J2" s="4" t="s">
        <v>41</v>
      </c>
      <c r="K2" s="4" t="s">
        <v>41</v>
      </c>
      <c r="L2" s="4" t="s">
        <v>41</v>
      </c>
      <c r="M2" s="4" t="s">
        <v>41</v>
      </c>
      <c r="N2" s="4" t="s">
        <v>41</v>
      </c>
      <c r="O2" s="4" t="s">
        <v>41</v>
      </c>
      <c r="P2" s="4" t="s">
        <v>41</v>
      </c>
      <c r="Q2" s="4" t="s">
        <v>41</v>
      </c>
      <c r="R2" s="4" t="s">
        <v>42</v>
      </c>
      <c r="S2" s="4"/>
      <c r="T2" s="4"/>
      <c r="U2" s="4" t="s">
        <v>43</v>
      </c>
      <c r="V2" s="6" t="str">
        <f>TEXT(E2,"#,##0")&amp;" km"</f>
        <v>0 km</v>
      </c>
      <c r="W2" s="6" t="s">
        <v>44</v>
      </c>
      <c r="X2" s="6" t="s">
        <v>105</v>
      </c>
      <c r="Y2" s="6" t="s">
        <v>45</v>
      </c>
      <c r="Z2" s="6" t="s">
        <v>45</v>
      </c>
      <c r="AA2" s="6" t="s">
        <v>46</v>
      </c>
      <c r="AB2" s="6" t="s">
        <v>99</v>
      </c>
      <c r="AC2" s="6" t="s">
        <v>100</v>
      </c>
      <c r="AD2" s="6" t="s">
        <v>101</v>
      </c>
      <c r="AE2" s="6" t="str">
        <f>_xlfn.CONCAT(AC2," ",AD2)</f>
        <v>ALFVU ZZNXTGSP</v>
      </c>
      <c r="AF2" s="6" t="s">
        <v>48</v>
      </c>
      <c r="AG2" s="6" t="s">
        <v>102</v>
      </c>
      <c r="AH2" s="6" t="s">
        <v>103</v>
      </c>
      <c r="AI2" s="6" t="s">
        <v>51</v>
      </c>
      <c r="AJ2" s="6" t="s">
        <v>104</v>
      </c>
      <c r="AK2" s="6" t="str">
        <f>AM2&amp;" - "&amp;AL2</f>
        <v>There are no Current quotes to display - Notifications (0)</v>
      </c>
      <c r="AL2" s="6" t="s">
        <v>80</v>
      </c>
      <c r="AM2" s="6" t="s">
        <v>81</v>
      </c>
      <c r="AN2" s="6" t="s">
        <v>53</v>
      </c>
      <c r="AO2" s="6"/>
    </row>
    <row r="3" spans="1:41" s="2" customFormat="1" ht="81">
      <c r="A3" s="4" t="s">
        <v>54</v>
      </c>
      <c r="B3" s="4" t="s">
        <v>40</v>
      </c>
      <c r="C3" s="4" t="s">
        <v>55</v>
      </c>
      <c r="D3" s="4"/>
      <c r="E3" s="4" t="s">
        <v>56</v>
      </c>
      <c r="F3" s="4"/>
      <c r="G3" s="4"/>
      <c r="H3" s="4"/>
      <c r="I3" s="4" t="s">
        <v>41</v>
      </c>
      <c r="J3" s="4" t="s">
        <v>41</v>
      </c>
      <c r="K3" s="4" t="s">
        <v>41</v>
      </c>
      <c r="L3" s="4" t="s">
        <v>41</v>
      </c>
      <c r="M3" s="4" t="s">
        <v>41</v>
      </c>
      <c r="N3" s="4" t="s">
        <v>41</v>
      </c>
      <c r="O3" s="4" t="s">
        <v>41</v>
      </c>
      <c r="P3" s="4" t="s">
        <v>41</v>
      </c>
      <c r="Q3" s="4" t="s">
        <v>41</v>
      </c>
      <c r="R3" s="4" t="s">
        <v>41</v>
      </c>
      <c r="S3" s="4" t="s">
        <v>57</v>
      </c>
      <c r="T3" s="4" t="s">
        <v>58</v>
      </c>
      <c r="U3" s="4" t="s">
        <v>59</v>
      </c>
      <c r="V3" s="4" t="s">
        <v>60</v>
      </c>
      <c r="W3" s="4" t="s">
        <v>61</v>
      </c>
      <c r="X3" s="4" t="s">
        <v>62</v>
      </c>
      <c r="Y3" s="4" t="s">
        <v>63</v>
      </c>
      <c r="Z3" s="4" t="s">
        <v>64</v>
      </c>
      <c r="AA3" s="4" t="s">
        <v>65</v>
      </c>
      <c r="AB3" s="4" t="s">
        <v>66</v>
      </c>
      <c r="AC3" s="4" t="s">
        <v>67</v>
      </c>
      <c r="AD3" s="4" t="s">
        <v>68</v>
      </c>
      <c r="AE3" s="4" t="s">
        <v>69</v>
      </c>
      <c r="AF3" s="4" t="s">
        <v>70</v>
      </c>
      <c r="AG3" s="4" t="s">
        <v>71</v>
      </c>
      <c r="AH3" s="4" t="s">
        <v>72</v>
      </c>
      <c r="AI3" s="4" t="s">
        <v>73</v>
      </c>
      <c r="AJ3" s="4" t="s">
        <v>74</v>
      </c>
      <c r="AK3" s="4" t="s">
        <v>75</v>
      </c>
      <c r="AL3" s="4" t="s">
        <v>76</v>
      </c>
      <c r="AM3" s="4" t="s">
        <v>77</v>
      </c>
      <c r="AN3" s="4" t="s">
        <v>78</v>
      </c>
      <c r="AO3" s="4" t="s">
        <v>79</v>
      </c>
    </row>
    <row r="5" spans="1:41">
      <c r="E5" s="7"/>
    </row>
    <row r="10" spans="1:41" ht="14.25">
      <c r="U1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2026-09-12T07:23:34Z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