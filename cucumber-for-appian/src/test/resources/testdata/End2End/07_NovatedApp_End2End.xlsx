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<sst xmlns="http://schemas.openxmlformats.org/spreadsheetml/2006/main" count="159" uniqueCount="112">
  <si>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</si>
  <si>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</si>
  <si>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</si>
  <si>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</si>
  <si>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</si>
  <si>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</si>
  <si>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</si>
  <si>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</si>
  <si>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</si>
  <si>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</si>
  <si>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</si>
  <si>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</si>
  <si>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</si>
  <si>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</si>
  <si>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</si>
  <si>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</si>
  <si>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</si>
  <si>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</si>
  <si>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</si>
  <si>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</si>
  <si>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</si>
  <si>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</si>
  <si>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Payout Odometer</t>
  </si>
  <si>
    <t>Fuel Provider</t>
  </si>
  <si>
    <t>Delivery Address</t>
  </si>
  <si>
    <t>Request Submission Date</t>
  </si>
  <si>
    <t>Last Update Date</t>
  </si>
  <si>
    <t>Request Subtype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</si>
  <si>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</si>
  <si>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</si>
  <si>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</si>
  <si>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</si>
  <si>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</si>
  <si>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</si>
  <si>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</si>
  <si>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</si>
  <si>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</si>
  <si>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</si>
  <si>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</si>
  <si>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</si>
  <si>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</si>
  <si>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Fuel Card Number</t>
  </si>
  <si>
    <t>Remittance Advice</t>
  </si>
  <si>
    <t>EOL Date</t>
  </si>
  <si>
    <t>Payout Amount</t>
  </si>
  <si>
    <t>Payout Valid-to Date</t>
  </si>
  <si>
    <t>Lease Type</t>
  </si>
  <si>
    <t>TC001</t>
  </si>
  <si>
    <t>Early Termination</t>
  </si>
  <si>
    <t>8956</t>
  </si>
  <si>
    <t>N/A</t>
  </si>
  <si>
    <t>Lost</t>
  </si>
  <si>
    <t>30 Jul 2026</t>
  </si>
  <si>
    <t>21 May 2026</t>
  </si>
  <si>
    <t>REQ-854</t>
  </si>
  <si>
    <t>ORIX Motorpass</t>
  </si>
  <si>
    <t>13 May 2026 02:11 PM</t>
  </si>
  <si>
    <t>Replacement</t>
  </si>
  <si>
    <t>Mr</t>
  </si>
  <si>
    <t>Sudeep</t>
  </si>
  <si>
    <t>Shakya</t>
  </si>
  <si>
    <t>27 Jun 1986</t>
  </si>
  <si>
    <t>333665987</t>
  </si>
  <si>
    <t>sudeep.shakya@outlook.com.test</t>
  </si>
  <si>
    <t>Your Residential Address *</t>
  </si>
  <si>
    <t>QBE Management Services Pty Ltd</t>
  </si>
  <si>
    <t>FPJ50N</t>
  </si>
  <si>
    <t>BYD DOLPHIN</t>
  </si>
  <si>
    <t>13 Mar 2028</t>
  </si>
  <si>
    <t>C:\Automation\Test cases Novated App\Filestoupload\RemittanceAdvice.pdf</t>
  </si>
  <si>
    <t>1 Jul 2026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</si>
  <si>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</si>
  <si>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</si>
  <si>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</si>
  <si>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</si>
  <si>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</si>
  <si>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</si>
  <si>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</si>
  <si>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${TC001.Fuel Provider}</t>
  </si>
  <si>
    <t>${TC001.Delivery Address}</t>
  </si>
  <si>
    <t>${TC001.Request Submission Date}</t>
  </si>
  <si>
    <t>${TC001.Last Update Date}</t>
  </si>
  <si>
    <t>${TC001.Request Subtype}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</si>
  <si>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</si>
  <si>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</si>
  <si>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</si>
  <si>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</si>
  <si>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</si>
  <si>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</si>
  <si>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</si>
  <si>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</si>
  <si>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</si>
  <si>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</si>
  <si>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</si>
  <si>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</si>
  <si>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</si>
  <si>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No Number Info</t>
  </si>
  <si>
    <t>${TC001.EOL Date}</t>
  </si>
  <si>
    <t>${TC001.Payout Amount}</t>
  </si>
  <si>
    <t>${TC001.Payout Valid-to Date}</t>
  </si>
  <si>
    <t>Novated Finance</t>
  </si>
  <si>
    <t>REQ-169</t>
  </si>
  <si>
    <t>Notifications (0)</t>
  </si>
  <si>
    <t>There are no Current quotes to display</t>
  </si>
  <si>
    <t>Latest Reading (kms)
86,510 km</t>
  </si>
  <si>
    <t>Miss</t>
  </si>
  <si>
    <t>SXBHG</t>
  </si>
  <si>
    <t>WHKDOPZ</t>
  </si>
  <si>
    <t>0412 345 678</t>
  </si>
  <si>
    <t>10581@omsrefresh.com</t>
  </si>
  <si>
    <t>Komatsu Australia Pty Ltd</t>
  </si>
  <si>
    <t>Latest Reading (kms)
86,521 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</si>
</sst>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180" fontId="0" fillId="0" borderId="1" xfId="0" applyNumberFormat="1" applyFont="1" applyFill="1" applyBorder="1" applyAlignment="1">
      <alignment vertical="center" wrapText="1"/>
    </xf>
    <xf numFmtId="3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"/>
  <sheetViews>
    <sheetView tabSelected="1" topLeftCell="H1" workbookViewId="0">
      <selection activeCell="H1" sqref="H1"/>
    </sheetView>
  </sheetViews>
  <sheetFormatPr defaultColWidth="8.89166666666667" defaultRowHeight="13.8"/>
  <cols>
    <col min="1" max="1" customWidth="true" width="8.55833333333333"/>
    <col min="2" max="2" customWidth="true" width="20.7"/>
    <col min="3" max="4" customWidth="true" width="24.3333333333333"/>
    <col min="5" max="5" customWidth="true" width="27.3333333333333"/>
    <col min="6" max="6" customWidth="true" width="16.775"/>
    <col min="7" max="7" customWidth="true" width="15.3333333333333"/>
    <col min="8" max="8" customWidth="true" width="21.775"/>
    <col min="9" max="9" customWidth="true" width="18.6666666666667"/>
    <col min="10" max="10" customWidth="true" width="23.775"/>
    <col min="11" max="11" customWidth="true" width="17.225"/>
    <col min="12" max="12" customWidth="true" width="19.8916666666667"/>
    <col min="13" max="13" customWidth="true" width="20.6666666666667"/>
    <col min="14" max="14" customWidth="true" width="17.5583333333333"/>
    <col min="15" max="15" customWidth="true" width="14.6666666666667"/>
    <col min="16" max="16" customWidth="true" width="19.3333333333333"/>
    <col min="17" max="17" customWidth="true" width="18.4416666666667"/>
    <col min="18" max="23" customWidth="true" width="19.1083333333333"/>
    <col min="24" max="24" customWidth="true" width="20.7"/>
    <col min="25" max="25" customWidth="true" width="24.6"/>
    <col min="26" max="26" customWidth="true" width="29.8"/>
    <col min="27" max="28" customWidth="true" width="24.5"/>
    <col min="36" max="36" customWidth="true" width="26.6"/>
    <col min="43" max="44" customWidth="true" width="12.4"/>
    <col min="45" max="45" customWidth="true" width="14.6"/>
    <col min="46" max="46" customWidth="true" width="16.7"/>
  </cols>
  <sheetData>
    <row r="1" s="1" customFormat="1" ht="41.4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="2" customFormat="1" ht="82.8" spans="1:47">
      <c r="A2" s="4" t="s">
        <v>47</v>
      </c>
      <c r="B2" s="4" t="s">
        <v>48</v>
      </c>
      <c r="C2" s="5" t="s">
        <v>111</v>
      </c>
      <c r="D2" s="6" t="e">
        <f>C2+1</f>
        <v>#VALUE!</v>
      </c>
      <c r="E2" s="6" t="e">
        <f>D2</f>
        <v>#VALUE!</v>
      </c>
      <c r="F2" s="4"/>
      <c r="G2" s="4"/>
      <c r="H2" s="4"/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51</v>
      </c>
      <c r="S2" s="4" t="s">
        <v>52</v>
      </c>
      <c r="T2" s="4" t="s">
        <v>53</v>
      </c>
      <c r="U2" s="4" t="s">
        <v>101</v>
      </c>
      <c r="V2" s="7" t="e">
        <f>TEXT(E2,"#,##0")&amp;" km"</f>
        <v>#VALUE!</v>
      </c>
      <c r="W2" s="7" t="e">
        <f>TEXT(C2,"#,##0")&amp;" km"</f>
        <v>#VALUE!</v>
      </c>
      <c r="X2" s="7" t="s">
        <v>55</v>
      </c>
      <c r="Y2" s="7"/>
      <c r="Z2" s="7" t="s">
        <v>56</v>
      </c>
      <c r="AA2" s="7" t="s">
        <v>56</v>
      </c>
      <c r="AB2" s="7" t="s">
        <v>57</v>
      </c>
      <c r="AC2" s="7" t="s">
        <v>105</v>
      </c>
      <c r="AD2" s="7" t="s">
        <v>106</v>
      </c>
      <c r="AE2" s="7" t="s">
        <v>107</v>
      </c>
      <c r="AF2" s="7" t="str">
        <f>_xlfn.CONCAT(AD2," ",AE2)</f>
        <v>SXBHG WHKDOPZ</v>
      </c>
      <c r="AG2" s="7" t="s">
        <v>61</v>
      </c>
      <c r="AH2" s="7" t="s">
        <v>108</v>
      </c>
      <c r="AI2" s="7" t="s">
        <v>109</v>
      </c>
      <c r="AJ2" s="7" t="s">
        <v>64</v>
      </c>
      <c r="AK2" s="7" t="s">
        <v>110</v>
      </c>
      <c r="AL2" s="7" t="str">
        <f>AN2&amp;" - "&amp;AM2</f>
        <v>There are no Current quotes to display - Notifications (0)</v>
      </c>
      <c r="AM2" s="7" t="s">
        <v>102</v>
      </c>
      <c r="AN2" s="7" t="s">
        <v>103</v>
      </c>
      <c r="AO2" s="7" t="s">
        <v>68</v>
      </c>
      <c r="AP2" s="7"/>
      <c r="AQ2" s="7" t="s">
        <v>69</v>
      </c>
      <c r="AR2" s="7" t="s">
        <v>70</v>
      </c>
      <c r="AS2" s="7"/>
      <c r="AT2" s="7"/>
      <c r="AU2" s="7"/>
    </row>
    <row r="3" s="2" customFormat="1" ht="55.2" spans="1:47">
      <c r="A3" s="4" t="s">
        <v>71</v>
      </c>
      <c r="B3" s="4" t="s">
        <v>48</v>
      </c>
      <c r="C3" s="4" t="s">
        <v>72</v>
      </c>
      <c r="D3" s="4"/>
      <c r="E3" s="4" t="s">
        <v>73</v>
      </c>
      <c r="F3" s="4"/>
      <c r="G3" s="4"/>
      <c r="H3" s="4"/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74</v>
      </c>
      <c r="T3" s="4" t="s">
        <v>75</v>
      </c>
      <c r="U3" s="4" t="s">
        <v>76</v>
      </c>
      <c r="V3" s="4" t="s">
        <v>77</v>
      </c>
      <c r="W3" s="4"/>
      <c r="X3" s="4" t="s">
        <v>78</v>
      </c>
      <c r="Y3" s="4" t="s">
        <v>79</v>
      </c>
      <c r="Z3" s="4" t="s">
        <v>80</v>
      </c>
      <c r="AA3" s="4" t="s">
        <v>81</v>
      </c>
      <c r="AB3" s="4" t="s">
        <v>82</v>
      </c>
      <c r="AC3" s="4" t="s">
        <v>83</v>
      </c>
      <c r="AD3" s="4" t="s">
        <v>84</v>
      </c>
      <c r="AE3" s="4" t="s">
        <v>85</v>
      </c>
      <c r="AF3" s="4" t="s">
        <v>86</v>
      </c>
      <c r="AG3" s="4" t="s">
        <v>87</v>
      </c>
      <c r="AH3" s="4" t="s">
        <v>88</v>
      </c>
      <c r="AI3" s="4" t="s">
        <v>89</v>
      </c>
      <c r="AJ3" s="4" t="s">
        <v>90</v>
      </c>
      <c r="AK3" s="4" t="s">
        <v>91</v>
      </c>
      <c r="AL3" s="4" t="s">
        <v>92</v>
      </c>
      <c r="AM3" s="4" t="s">
        <v>93</v>
      </c>
      <c r="AN3" s="4" t="s">
        <v>94</v>
      </c>
      <c r="AO3" s="4" t="s">
        <v>95</v>
      </c>
      <c r="AP3" s="4" t="s">
        <v>96</v>
      </c>
      <c r="AQ3" s="4"/>
      <c r="AR3" s="4" t="s">
        <v>97</v>
      </c>
      <c r="AS3" s="4" t="s">
        <v>98</v>
      </c>
      <c r="AT3" s="4" t="s">
        <v>99</v>
      </c>
      <c r="AU3" s="4" t="s">
        <v>100</v>
      </c>
    </row>
    <row r="5" spans="1:47">
      <c r="E5" s="8"/>
    </row>
    <row r="10" spans="1:47">
      <c r="U1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HP</cp:lastModifiedBy>
  <dcterms:modified xsi:type="dcterms:W3CDTF">2026-07-30T08:40:52Z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