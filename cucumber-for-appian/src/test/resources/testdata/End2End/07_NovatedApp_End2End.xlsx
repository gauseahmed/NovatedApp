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<sst xmlns="http://schemas.openxmlformats.org/spreadsheetml/2006/main" count="120" uniqueCount="100">
  <si>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</si>
  <si>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</si>
  <si>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</si>
  <si>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</si>
  <si>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</si>
  <si>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</si>
  <si>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</si>
  <si>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</si>
  <si>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</si>
  <si>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</si>
  <si>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</si>
  <si>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</si>
  <si>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</si>
  <si>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</si>
  <si>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</si>
  <si>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</si>
  <si>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</si>
  <si>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</si>
  <si>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</si>
  <si>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</si>
  <si>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</si>
  <si>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</si>
  <si>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Payout 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</si>
  <si>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</si>
  <si>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</si>
  <si>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</si>
  <si>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</si>
  <si>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</si>
  <si>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</si>
  <si>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</si>
  <si>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</si>
  <si>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</si>
  <si>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</si>
  <si>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</si>
  <si>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</si>
  <si>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</si>
  <si>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</si>
  <si>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</si>
  <si>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</si>
  <si>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</si>
  <si>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</si>
  <si>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 Number</t>
  </si>
  <si>
    <t>Remittance Advice</t>
  </si>
  <si>
    <t>EOL Date</t>
  </si>
  <si>
    <t>Payout Amount</t>
  </si>
  <si>
    <t>Payout Valid-to Date</t>
  </si>
  <si>
    <t>Lease Type</t>
  </si>
  <si>
    <t>TC001</t>
  </si>
  <si>
    <t>Early Termination</t>
  </si>
  <si>
    <t>20184</t>
  </si>
  <si>
    <t>N/A</t>
  </si>
  <si>
    <t>Lost</t>
  </si>
  <si>
    <t>21 May 2026</t>
  </si>
  <si>
    <t>17 Mar 2026</t>
  </si>
  <si>
    <t>REQ-757</t>
  </si>
  <si>
    <t>ORIX Motorpass</t>
  </si>
  <si>
    <t>13 May 2026 02:11 PM</t>
  </si>
  <si>
    <t>Replacement</t>
  </si>
  <si>
    <t>Mr</t>
  </si>
  <si>
    <t>Darryn</t>
  </si>
  <si>
    <t>Grumley</t>
  </si>
  <si>
    <t>29/04/1983</t>
  </si>
  <si>
    <t>0494488844</t>
  </si>
  <si>
    <t>darryn.j.grumley@exxonmobil.com.test</t>
  </si>
  <si>
    <t>Your Residential Address *</t>
  </si>
  <si>
    <t>ESSO Australia Pty Ltd</t>
  </si>
  <si>
    <t>DAZ734</t>
  </si>
  <si>
    <t>MAZDA CX-60</t>
  </si>
  <si>
    <t>30 Aug 2029</t>
  </si>
  <si>
    <t>C:\Automation\Test cases Novated App\Filestoupload\RemittanceAdvice.pdf</t>
  </si>
  <si>
    <t>12 Jun 2026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</si>
  <si>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</si>
  <si>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</si>
  <si>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</si>
  <si>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</si>
  <si>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</si>
  <si>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</si>
  <si>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</si>
  <si>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</si>
  <si>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</si>
  <si>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</si>
  <si>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</si>
  <si>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</si>
  <si>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</si>
  <si>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</si>
  <si>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</si>
  <si>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</si>
  <si>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</si>
  <si>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</si>
  <si>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</si>
  <si>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</si>
  <si>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</si>
  <si>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</si>
  <si>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</si>
  <si>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</si>
  <si>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</si>
  <si>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No Number Info</t>
  </si>
  <si>
    <t>${TC001.EOL Date}</t>
  </si>
  <si>
    <t>${TC001.Payout Amount}</t>
  </si>
  <si>
    <t>${TC001.Payout Valid-to Date}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</si>
</sst>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0"/>
  <sheetViews>
    <sheetView tabSelected="1" topLeftCell="AB1" workbookViewId="0">
      <selection activeCell="AJ2" sqref="AJ2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3" width="19.1083333333333" customWidth="1"/>
    <col min="24" max="24" width="20.7" customWidth="1"/>
    <col min="25" max="25" width="24.6" customWidth="1"/>
    <col min="26" max="26" width="29.8" customWidth="1"/>
    <col min="27" max="28" width="24.5" customWidth="1"/>
    <col min="36" max="36" width="26.6" customWidth="1"/>
    <col min="43" max="44" width="12.4" customWidth="1"/>
    <col min="45" max="45" width="14.6" customWidth="1"/>
    <col min="46" max="46" width="16.7" customWidth="1"/>
  </cols>
  <sheetData>
    <row r="1" s="1" customFormat="1" ht="69" spans="1:47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</row>
    <row r="2" s="2" customFormat="1" ht="82.8" spans="1:47">
      <c r="A2" s="4" t="s">
        <v>47</v>
      </c>
      <c r="B2" s="4" t="s">
        <v>48</v>
      </c>
      <c r="C2" s="5" t="s">
        <v>49</v>
      </c>
      <c r="D2" s="6">
        <f>C2+1</f>
        <v>20185</v>
      </c>
      <c r="E2" s="6">
        <f>D2</f>
        <v>20185</v>
      </c>
      <c r="F2" s="4"/>
      <c r="G2" s="4"/>
      <c r="H2" s="4"/>
      <c r="I2" s="4" t="s">
        <v>50</v>
      </c>
      <c r="J2" s="4" t="s">
        <v>50</v>
      </c>
      <c r="K2" s="4" t="s">
        <v>50</v>
      </c>
      <c r="L2" s="4" t="s">
        <v>50</v>
      </c>
      <c r="M2" s="4" t="s">
        <v>50</v>
      </c>
      <c r="N2" s="4" t="s">
        <v>50</v>
      </c>
      <c r="O2" s="4" t="s">
        <v>50</v>
      </c>
      <c r="P2" s="4" t="s">
        <v>50</v>
      </c>
      <c r="Q2" s="4" t="s">
        <v>50</v>
      </c>
      <c r="R2" s="4" t="s">
        <v>51</v>
      </c>
      <c r="S2" s="4" t="s">
        <v>52</v>
      </c>
      <c r="T2" s="4" t="s">
        <v>53</v>
      </c>
      <c r="U2" s="4" t="s">
        <v>54</v>
      </c>
      <c r="V2" s="7" t="str">
        <f>TEXT(E2,"#,##0")&amp;" km"</f>
        <v>20,185 km</v>
      </c>
      <c r="W2" s="7" t="str">
        <f>TEXT(C2,"#,##0")&amp;" km"</f>
        <v>20,184 km</v>
      </c>
      <c r="X2" s="7" t="s">
        <v>55</v>
      </c>
      <c r="Y2" s="7"/>
      <c r="Z2" s="7" t="s">
        <v>56</v>
      </c>
      <c r="AA2" s="7" t="s">
        <v>56</v>
      </c>
      <c r="AB2" s="7" t="s">
        <v>57</v>
      </c>
      <c r="AC2" s="7" t="s">
        <v>58</v>
      </c>
      <c r="AD2" s="7" t="s">
        <v>59</v>
      </c>
      <c r="AE2" s="7" t="s">
        <v>60</v>
      </c>
      <c r="AF2" s="7" t="str">
        <f>_xlfn.CONCAT(AD2," ",AE2)</f>
        <v>Darryn Grumley</v>
      </c>
      <c r="AG2" s="7" t="s">
        <v>61</v>
      </c>
      <c r="AH2" s="7" t="s">
        <v>62</v>
      </c>
      <c r="AI2" s="7" t="s">
        <v>63</v>
      </c>
      <c r="AJ2" s="7" t="s">
        <v>64</v>
      </c>
      <c r="AK2" s="7" t="s">
        <v>65</v>
      </c>
      <c r="AL2" s="7" t="str">
        <f>AN2&amp;" - "&amp;AM2</f>
        <v>MAZDA CX-60 - DAZ734</v>
      </c>
      <c r="AM2" s="7" t="s">
        <v>66</v>
      </c>
      <c r="AN2" s="7" t="s">
        <v>67</v>
      </c>
      <c r="AO2" s="7" t="s">
        <v>68</v>
      </c>
      <c r="AP2" s="7"/>
      <c r="AQ2" s="7" t="s">
        <v>69</v>
      </c>
      <c r="AR2" s="7" t="s">
        <v>70</v>
      </c>
      <c r="AS2" s="7"/>
      <c r="AT2" s="7"/>
      <c r="AU2" s="7"/>
    </row>
    <row r="3" s="2" customFormat="1" ht="82.8" spans="1:47">
      <c r="A3" s="4" t="s">
        <v>71</v>
      </c>
      <c r="B3" s="4" t="s">
        <v>48</v>
      </c>
      <c r="C3" s="4" t="s">
        <v>72</v>
      </c>
      <c r="D3" s="4"/>
      <c r="E3" s="4" t="s">
        <v>73</v>
      </c>
      <c r="F3" s="4"/>
      <c r="G3" s="4"/>
      <c r="H3" s="4"/>
      <c r="I3" s="4" t="s">
        <v>50</v>
      </c>
      <c r="J3" s="4" t="s">
        <v>50</v>
      </c>
      <c r="K3" s="4" t="s">
        <v>50</v>
      </c>
      <c r="L3" s="4" t="s">
        <v>50</v>
      </c>
      <c r="M3" s="4" t="s">
        <v>50</v>
      </c>
      <c r="N3" s="4" t="s">
        <v>50</v>
      </c>
      <c r="O3" s="4" t="s">
        <v>50</v>
      </c>
      <c r="P3" s="4" t="s">
        <v>50</v>
      </c>
      <c r="Q3" s="4" t="s">
        <v>50</v>
      </c>
      <c r="R3" s="4" t="s">
        <v>50</v>
      </c>
      <c r="S3" s="4" t="s">
        <v>74</v>
      </c>
      <c r="T3" s="4" t="s">
        <v>75</v>
      </c>
      <c r="U3" s="4" t="s">
        <v>76</v>
      </c>
      <c r="V3" s="4" t="s">
        <v>77</v>
      </c>
      <c r="W3" s="4"/>
      <c r="X3" s="4" t="s">
        <v>78</v>
      </c>
      <c r="Y3" s="4" t="s">
        <v>79</v>
      </c>
      <c r="Z3" s="4" t="s">
        <v>80</v>
      </c>
      <c r="AA3" s="4" t="s">
        <v>81</v>
      </c>
      <c r="AB3" s="4" t="s">
        <v>82</v>
      </c>
      <c r="AC3" s="4" t="s">
        <v>83</v>
      </c>
      <c r="AD3" s="4" t="s">
        <v>84</v>
      </c>
      <c r="AE3" s="4" t="s">
        <v>85</v>
      </c>
      <c r="AF3" s="4" t="s">
        <v>86</v>
      </c>
      <c r="AG3" s="4" t="s">
        <v>87</v>
      </c>
      <c r="AH3" s="4" t="s">
        <v>88</v>
      </c>
      <c r="AI3" s="4" t="s">
        <v>89</v>
      </c>
      <c r="AJ3" s="4" t="s">
        <v>90</v>
      </c>
      <c r="AK3" s="4" t="s">
        <v>91</v>
      </c>
      <c r="AL3" s="4" t="s">
        <v>92</v>
      </c>
      <c r="AM3" s="4" t="s">
        <v>93</v>
      </c>
      <c r="AN3" s="4" t="s">
        <v>94</v>
      </c>
      <c r="AO3" s="4" t="s">
        <v>95</v>
      </c>
      <c r="AP3" s="4" t="s">
        <v>96</v>
      </c>
      <c r="AQ3" s="4"/>
      <c r="AR3" s="4" t="s">
        <v>97</v>
      </c>
      <c r="AS3" s="4" t="s">
        <v>98</v>
      </c>
      <c r="AT3" s="4" t="s">
        <v>99</v>
      </c>
      <c r="AU3" s="4"/>
    </row>
    <row r="5" spans="1:47">
      <c r="E5" s="8"/>
    </row>
    <row r="10" spans="1:47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2026-05-25T04:07:47Z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