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873"/>
  </bookViews>
  <sheets>
    <sheet name="TestData" sheetId="14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<sst xmlns="http://schemas.openxmlformats.org/spreadsheetml/2006/main" count="131" uniqueCount="106">
  <si>
    <t>TC ID</t>
  </si>
  <si>
    <t>Request Type</t>
  </si>
  <si>
    <t>Last Odometer Reading</t>
  </si>
  <si>
    <t>Updated Odometer Reading</t>
  </si>
  <si>
    <t>New Odometer</t>
  </si>
  <si>
    <t>Claim Type</t>
  </si>
  <si>
    <t>Amount ($)</t>
  </si>
  <si>
    <t>Proof of Payment</t>
  </si>
  <si>
    <t>Scheduled Service</t>
  </si>
  <si>
    <t>Maintenance Activity Completed</t>
  </si>
  <si>
    <t>Tyre Quantity</t>
  </si>
  <si>
    <t>Policy Start Date</t>
  </si>
  <si>
    <t>New Registration Expiry Date</t>
  </si>
  <si>
    <t>Insurance Company</t>
  </si>
  <si>
    <t>Insurance Expiry Date</t>
  </si>
  <si>
    <t>Insurance Company Name</t>
  </si>
  <si>
    <t>Claim Description</t>
  </si>
  <si>
    <t>Replace Fuel Card</t>
  </si>
  <si>
    <t>Reading Date</t>
  </si>
  <si>
    <t>Last Reading Date</t>
  </si>
  <si>
    <t>Reference Number</t>
  </si>
  <si>
    <t>Odometer</t>
  </si>
  <si>
    <t>Fuel Provider</t>
  </si>
  <si>
    <t>Delivery Address</t>
  </si>
  <si>
    <t>Request Submission Date</t>
  </si>
  <si>
    <t>Last Update Date</t>
  </si>
  <si>
    <t>Request Subtype</t>
  </si>
  <si>
    <t>Driver Salutation</t>
  </si>
  <si>
    <t>Driver First Name</t>
  </si>
  <si>
    <t>Driver Last Name</t>
  </si>
  <si>
    <t>Driver Name</t>
  </si>
  <si>
    <t>Driver Date of Birth</t>
  </si>
  <si>
    <t>Driver Mobile Phone</t>
  </si>
  <si>
    <t>Driver Email</t>
  </si>
  <si>
    <t>Driver Your Residential Address</t>
  </si>
  <si>
    <t>Driver Employer Name</t>
  </si>
  <si>
    <t>Vehicle</t>
  </si>
  <si>
    <t>Vehicle number</t>
  </si>
  <si>
    <t>Vehicle name</t>
  </si>
  <si>
    <t>Lease End Date</t>
  </si>
  <si>
    <t>TC001</t>
  </si>
  <si>
    <t>Fuel Card</t>
  </si>
  <si>
    <t>53100</t>
  </si>
  <si>
    <t>N/A</t>
  </si>
  <si>
    <t>REQ-738</t>
  </si>
  <si>
    <t>ORIX Motorpass</t>
  </si>
  <si>
    <t>Delivery Address *</t>
  </si>
  <si>
    <t>13 May 2026 02:18 PM</t>
  </si>
  <si>
    <t>Fuel Card Cancellation</t>
  </si>
  <si>
    <t>Mr</t>
  </si>
  <si>
    <t>Neil</t>
  </si>
  <si>
    <t>Jones</t>
  </si>
  <si>
    <t>01/06/2000</t>
  </si>
  <si>
    <t>0400123146</t>
  </si>
  <si>
    <t>neil.jones@exxonmobil.com.test</t>
  </si>
  <si>
    <t>Your Residential Address *</t>
  </si>
  <si>
    <t>Guild Insurance Ltd</t>
  </si>
  <si>
    <t>YKQ26Y</t>
  </si>
  <si>
    <t>MAZDA CX-5</t>
  </si>
  <si>
    <t>25 Sept 2026</t>
  </si>
  <si>
    <t>TC002</t>
  </si>
  <si>
    <t>${TC001.Last Odometer Reading}</t>
  </si>
  <si>
    <t>${TC001.New Odometer}</t>
  </si>
  <si>
    <t>${TC001.Reading Date}</t>
  </si>
  <si>
    <t>${TC001.Last Reading Date}</t>
  </si>
  <si>
    <t>${TC001.Reference Number}</t>
  </si>
  <si>
    <t>${TC001.Odometer}</t>
  </si>
  <si>
    <t>${TC001.Fuel Provider}</t>
  </si>
  <si>
    <t>${TC001.Delivery Address}</t>
  </si>
  <si>
    <t>${TC001.Request Submission Date}</t>
  </si>
  <si>
    <t>${TC001.Last Update Date}</t>
  </si>
  <si>
    <t>${TC001.Request Subtype}</t>
  </si>
  <si>
    <t>${TC001.Driver Salutation}</t>
  </si>
  <si>
    <t>${TC001.Driver First Name}</t>
  </si>
  <si>
    <t>${TC001.Driver Last Name}</t>
  </si>
  <si>
    <t>${TC001.Driver Name}</t>
  </si>
  <si>
    <t>${TC001.Driver Date of Birth}</t>
  </si>
  <si>
    <t>${TC001.Driver Mobile Phone}</t>
  </si>
  <si>
    <t>${TC001.Driver Email}</t>
  </si>
  <si>
    <t>${TC001.Driver Your Residential Address}</t>
  </si>
  <si>
    <t>${TC001.Driver Employer Name}</t>
  </si>
  <si>
    <t>${TC001.Vehicle}</t>
  </si>
  <si>
    <t>${TC001.Vehicle number}</t>
  </si>
  <si>
    <t>${TC001.Vehicle name}</t>
  </si>
  <si>
    <t>${TC001.Lease End Date}</t>
  </si>
  <si>
    <t>FPJ50N</t>
  </si>
  <si>
    <t>BYD DOLPHIN</t>
  </si>
  <si>
    <t>8956</t>
  </si>
  <si>
    <t>Sudeep</t>
  </si>
  <si>
    <t>Shakya</t>
  </si>
  <si>
    <t>27 Jun 1986</t>
  </si>
  <si>
    <t>333665987</t>
  </si>
  <si>
    <t>sudeep.shakya@outlook.com.test</t>
  </si>
  <si>
    <t>QBE Management Services Pty Ltd</t>
  </si>
  <si>
    <t>REQ-167</t>
  </si>
  <si>
    <t>Cancel Fuel Card</t>
  </si>
  <si>
    <t>30 Jul 2026 05:29 PM</t>
  </si>
  <si>
    <t>CYP806</t>
  </si>
  <si>
    <t>TESLA MODEL Y</t>
  </si>
  <si>
    <t>4981</t>
  </si>
  <si>
    <t>Neeti</t>
  </si>
  <si>
    <t>Tripathi</t>
  </si>
  <si>
    <t>03 Jul 1993</t>
  </si>
  <si>
    <t>0499656877</t>
  </si>
  <si>
    <t>neeti.tripathi@kmart.com.au.test</t>
  </si>
  <si>
    <t>Kmart Australia Limited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</si>
</sst>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9"/>
      <color rgb="FF1F1F1F"/>
      <name val="Courier Ne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vertical="center" wrapText="1"/>
    </xf>
    <xf numFmtId="180" fontId="0" fillId="0" borderId="1" xfId="0" applyNumberFormat="1" applyFont="1" applyFill="1" applyBorder="1" applyAlignment="1">
      <alignment vertical="center" wrapText="1"/>
    </xf>
    <xf numFmtId="3" fontId="0" fillId="0" borderId="0" xfId="0" applyNumberForma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0"/>
  <sheetViews>
    <sheetView tabSelected="1" workbookViewId="0">
      <selection activeCell="D2" sqref="D2:E2"/>
    </sheetView>
  </sheetViews>
  <sheetFormatPr defaultColWidth="8.89166666666667" defaultRowHeight="13.8"/>
  <cols>
    <col min="1" max="1" customWidth="true" width="8.55833333333333"/>
    <col min="2" max="2" customWidth="true" width="20.7"/>
    <col min="3" max="4" customWidth="true" width="24.3333333333333"/>
    <col min="5" max="5" customWidth="true" width="27.3333333333333"/>
    <col min="6" max="6" customWidth="true" width="16.775"/>
    <col min="7" max="7" customWidth="true" width="15.3333333333333"/>
    <col min="8" max="8" customWidth="true" width="21.775"/>
    <col min="9" max="9" customWidth="true" width="18.6666666666667"/>
    <col min="10" max="10" customWidth="true" width="23.775"/>
    <col min="11" max="11" customWidth="true" width="17.225"/>
    <col min="12" max="12" customWidth="true" width="19.8916666666667"/>
    <col min="13" max="13" customWidth="true" width="20.6666666666667"/>
    <col min="14" max="14" customWidth="true" width="17.5583333333333"/>
    <col min="15" max="15" customWidth="true" width="14.6666666666667"/>
    <col min="16" max="16" customWidth="true" width="19.3333333333333"/>
    <col min="17" max="17" customWidth="true" width="18.4416666666667"/>
    <col min="18" max="22" customWidth="true" width="19.1083333333333"/>
    <col min="23" max="23" customWidth="true" width="20.7"/>
    <col min="24" max="24" customWidth="true" width="24.6"/>
    <col min="25" max="25" customWidth="true" width="29.8"/>
    <col min="26" max="27" customWidth="true" width="24.5"/>
  </cols>
  <sheetData>
    <row r="1" s="1" customFormat="1" ht="69" spans="1: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s="2" customFormat="1" ht="55.2" spans="1:40">
      <c r="A2" s="4" t="s">
        <v>40</v>
      </c>
      <c r="B2" s="4" t="s">
        <v>41</v>
      </c>
      <c r="C2" s="5" t="s">
        <v>99</v>
      </c>
      <c r="D2" s="6" t="n">
        <f>C2+1</f>
        <v>4982.0</v>
      </c>
      <c r="E2" s="6" t="n">
        <f>D2</f>
        <v>4982.0</v>
      </c>
      <c r="F2" s="4"/>
      <c r="G2" s="4"/>
      <c r="H2" s="4"/>
      <c r="I2" s="4" t="s">
        <v>43</v>
      </c>
      <c r="J2" s="4" t="s">
        <v>43</v>
      </c>
      <c r="K2" s="4" t="s">
        <v>43</v>
      </c>
      <c r="L2" s="4" t="s">
        <v>43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/>
      <c r="S2" s="4"/>
      <c r="T2" s="4"/>
      <c r="U2" s="4" t="s">
        <v>94</v>
      </c>
      <c r="V2" s="7" t="str">
        <f>TEXT(E2,"#,##0")&amp;" km"</f>
        <v>4,982 km</v>
      </c>
      <c r="W2" s="7" t="s">
        <v>45</v>
      </c>
      <c r="X2" s="7" t="s">
        <v>46</v>
      </c>
      <c r="Y2" s="7" t="s">
        <v>96</v>
      </c>
      <c r="Z2" s="7" t="s">
        <v>96</v>
      </c>
      <c r="AA2" s="7" t="s">
        <v>95</v>
      </c>
      <c r="AB2" s="7" t="s">
        <v>49</v>
      </c>
      <c r="AC2" s="7" t="s">
        <v>100</v>
      </c>
      <c r="AD2" s="7" t="s">
        <v>101</v>
      </c>
      <c r="AE2" s="7" t="str">
        <f>_xlfn.CONCAT(AC2," ",AD2)</f>
        <v>Neeti Tripathi</v>
      </c>
      <c r="AF2" s="7" t="s">
        <v>102</v>
      </c>
      <c r="AG2" s="7" t="s">
        <v>103</v>
      </c>
      <c r="AH2" s="7" t="s">
        <v>104</v>
      </c>
      <c r="AI2" s="7" t="s">
        <v>55</v>
      </c>
      <c r="AJ2" s="7" t="s">
        <v>105</v>
      </c>
      <c r="AK2" s="7" t="str">
        <f>AM2&amp;" - "&amp;AL2</f>
        <v>TESLA MODEL Y - CYP806</v>
      </c>
      <c r="AL2" s="7" t="s">
        <v>97</v>
      </c>
      <c r="AM2" s="7" t="s">
        <v>98</v>
      </c>
      <c r="AN2" s="7" t="s">
        <v>59</v>
      </c>
    </row>
    <row r="3" s="2" customFormat="1" ht="82.8" spans="1:40">
      <c r="A3" s="4" t="s">
        <v>60</v>
      </c>
      <c r="B3" s="4" t="s">
        <v>41</v>
      </c>
      <c r="C3" s="4" t="s">
        <v>61</v>
      </c>
      <c r="D3" s="4"/>
      <c r="E3" s="4" t="s">
        <v>62</v>
      </c>
      <c r="F3" s="4"/>
      <c r="G3" s="4"/>
      <c r="H3" s="4"/>
      <c r="I3" s="4" t="s">
        <v>43</v>
      </c>
      <c r="J3" s="4" t="s">
        <v>43</v>
      </c>
      <c r="K3" s="4" t="s">
        <v>43</v>
      </c>
      <c r="L3" s="4" t="s">
        <v>43</v>
      </c>
      <c r="M3" s="4" t="s">
        <v>43</v>
      </c>
      <c r="N3" s="4" t="s">
        <v>43</v>
      </c>
      <c r="O3" s="4" t="s">
        <v>43</v>
      </c>
      <c r="P3" s="4" t="s">
        <v>43</v>
      </c>
      <c r="Q3" s="4" t="s">
        <v>43</v>
      </c>
      <c r="R3" s="4" t="s">
        <v>43</v>
      </c>
      <c r="S3" s="4" t="s">
        <v>63</v>
      </c>
      <c r="T3" s="4" t="s">
        <v>64</v>
      </c>
      <c r="U3" s="4" t="s">
        <v>65</v>
      </c>
      <c r="V3" s="4" t="s">
        <v>66</v>
      </c>
      <c r="W3" s="4" t="s">
        <v>67</v>
      </c>
      <c r="X3" s="4" t="s">
        <v>68</v>
      </c>
      <c r="Y3" s="4" t="s">
        <v>69</v>
      </c>
      <c r="Z3" s="4" t="s">
        <v>70</v>
      </c>
      <c r="AA3" s="4" t="s">
        <v>71</v>
      </c>
      <c r="AB3" s="4" t="s">
        <v>72</v>
      </c>
      <c r="AC3" s="4" t="s">
        <v>73</v>
      </c>
      <c r="AD3" s="4" t="s">
        <v>74</v>
      </c>
      <c r="AE3" s="4" t="s">
        <v>75</v>
      </c>
      <c r="AF3" s="4" t="s">
        <v>76</v>
      </c>
      <c r="AG3" s="4" t="s">
        <v>77</v>
      </c>
      <c r="AH3" s="4" t="s">
        <v>78</v>
      </c>
      <c r="AI3" s="4" t="s">
        <v>79</v>
      </c>
      <c r="AJ3" s="4" t="s">
        <v>80</v>
      </c>
      <c r="AK3" s="4" t="s">
        <v>81</v>
      </c>
      <c r="AL3" s="4" t="s">
        <v>82</v>
      </c>
      <c r="AM3" s="4" t="s">
        <v>83</v>
      </c>
      <c r="AN3" s="4" t="s">
        <v>84</v>
      </c>
    </row>
    <row r="5" spans="1:40">
      <c r="E5" s="8"/>
    </row>
    <row r="10" spans="1:40">
      <c r="U10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2025-12-01T12:03:00Z</dcterms:created>
  <dc:creator>Sonu Singh</dc:creator>
  <cp:lastModifiedBy>Gause Ahmed Mohamed Ansar</cp:lastModifiedBy>
  <dcterms:modified xsi:type="dcterms:W3CDTF">2026-05-19T18:25:24Z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7DCB9CEED9C140F39456F2E5680BD05D_12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