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<sst xmlns="http://schemas.openxmlformats.org/spreadsheetml/2006/main" count="138" uniqueCount="112">
  <si>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</si>
  <si>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</si>
  <si>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</si>
  <si>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</si>
  <si>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</si>
  <si>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</si>
  <si>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</si>
  <si>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</si>
  <si>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</si>
  <si>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</si>
  <si>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</si>
  <si>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</si>
  <si>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</si>
  <si>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</si>
  <si>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</si>
  <si>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</si>
  <si>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</si>
  <si>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</si>
  <si>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</si>
  <si>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</si>
  <si>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</si>
  <si>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</si>
  <si>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</si>
  <si>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</si>
  <si>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</si>
  <si>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</si>
  <si>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</si>
  <si>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</si>
  <si>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</si>
  <si>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</si>
  <si>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</si>
  <si>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</si>
  <si>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</si>
  <si>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</si>
  <si>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</si>
  <si>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</si>
  <si>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</si>
  <si>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</si>
  <si>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</si>
  <si>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</si>
  <si>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</si>
  <si>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</si>
  <si>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53100</t>
  </si>
  <si>
    <t>N/A</t>
  </si>
  <si>
    <t>REQ-738</t>
  </si>
  <si>
    <t>ORIX Motorpass</t>
  </si>
  <si>
    <t>Delivery Address *</t>
  </si>
  <si>
    <t>13 May 2026 02:18 PM</t>
  </si>
  <si>
    <t>Fuel Card Cancellation</t>
  </si>
  <si>
    <t>Mr</t>
  </si>
  <si>
    <t>Neil</t>
  </si>
  <si>
    <t>Jones</t>
  </si>
  <si>
    <t>01/06/2000</t>
  </si>
  <si>
    <t>0400123146</t>
  </si>
  <si>
    <t>neil.jones@exxonmobil.com.test</t>
  </si>
  <si>
    <t>Your Residential Address *</t>
  </si>
  <si>
    <t>Guild Insurance Ltd</t>
  </si>
  <si>
    <t>YKQ26Y</t>
  </si>
  <si>
    <t>MAZDA CX-5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</si>
  <si>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</si>
  <si>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</si>
  <si>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</si>
  <si>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</si>
  <si>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</si>
  <si>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</si>
  <si>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</si>
  <si>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</si>
  <si>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</si>
  <si>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</si>
  <si>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</si>
  <si>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</si>
  <si>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</si>
  <si>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</si>
  <si>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</si>
  <si>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</si>
  <si>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</si>
  <si>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</si>
  <si>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</si>
  <si>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</si>
  <si>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</si>
  <si>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</si>
  <si>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</si>
  <si>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</si>
  <si>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</si>
  <si>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</si>
  <si>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FPJ50N</t>
  </si>
  <si>
    <t>BYD DOLPHIN</t>
  </si>
  <si>
    <t>8956</t>
  </si>
  <si>
    <t>Sudeep</t>
  </si>
  <si>
    <t>Shakya</t>
  </si>
  <si>
    <t>27 Jun 1986</t>
  </si>
  <si>
    <t>333665987</t>
  </si>
  <si>
    <t>sudeep.shakya@outlook.com.test</t>
  </si>
  <si>
    <t>QBE Management Services Pty Ltd</t>
  </si>
  <si>
    <t>REQ-167</t>
  </si>
  <si>
    <t>Cancel Fuel Card</t>
  </si>
  <si>
    <t>30 Jul 2026 05:29 PM</t>
  </si>
  <si>
    <t>CYP806</t>
  </si>
  <si>
    <t>TESLA MODEL Y</t>
  </si>
  <si>
    <t>4981</t>
  </si>
  <si>
    <t>Neeti</t>
  </si>
  <si>
    <t>Tripathi</t>
  </si>
  <si>
    <t>03 Jul 1993</t>
  </si>
  <si>
    <t>0499656877</t>
  </si>
  <si>
    <t>neeti.tripathi@kmart.com.au.test</t>
  </si>
  <si>
    <t>Kmart Australia Limited</t>
  </si>
  <si>
    <t>Latest Reading (kms)
18,065 km</t>
  </si>
  <si>
    <t>BTFWULH</t>
  </si>
  <si>
    <t>ABDGO</t>
  </si>
  <si>
    <t>0469 000 000</t>
  </si>
  <si>
    <t>191799@omsrefresh.com</t>
  </si>
  <si>
    <t>AMP Capital Office and Industrial Pty Ltd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</si>
</sst>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workbookViewId="0">
      <selection activeCell="D2" sqref="D2:E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</cols>
  <sheetData>
    <row r="1" s="1" customFormat="1" ht="69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55.2" spans="1:40">
      <c r="A2" s="4" t="s">
        <v>40</v>
      </c>
      <c r="B2" s="4" t="s">
        <v>41</v>
      </c>
      <c r="C2" s="5" t="s">
        <v>106</v>
      </c>
      <c r="D2" s="6" t="e">
        <f>C2+1</f>
        <v>#VALUE!</v>
      </c>
      <c r="E2" s="6" t="e">
        <f>D2</f>
        <v>#VALUE!</v>
      </c>
      <c r="F2" s="4"/>
      <c r="G2" s="4"/>
      <c r="H2" s="4"/>
      <c r="I2" s="4" t="s">
        <v>43</v>
      </c>
      <c r="J2" s="4" t="s">
        <v>43</v>
      </c>
      <c r="K2" s="4" t="s">
        <v>43</v>
      </c>
      <c r="L2" s="4" t="s">
        <v>43</v>
      </c>
      <c r="M2" s="4" t="s">
        <v>43</v>
      </c>
      <c r="N2" s="4" t="s">
        <v>43</v>
      </c>
      <c r="O2" s="4" t="s">
        <v>43</v>
      </c>
      <c r="P2" s="4" t="s">
        <v>43</v>
      </c>
      <c r="Q2" s="4" t="s">
        <v>43</v>
      </c>
      <c r="R2" s="4"/>
      <c r="S2" s="4"/>
      <c r="T2" s="4"/>
      <c r="U2" s="4" t="s">
        <v>94</v>
      </c>
      <c r="V2" s="7" t="e">
        <f>TEXT(E2,"#,##0")&amp;" km"</f>
        <v>#VALUE!</v>
      </c>
      <c r="W2" s="7" t="s">
        <v>45</v>
      </c>
      <c r="X2" s="7" t="s">
        <v>46</v>
      </c>
      <c r="Y2" s="7" t="s">
        <v>96</v>
      </c>
      <c r="Z2" s="7" t="s">
        <v>96</v>
      </c>
      <c r="AA2" s="7" t="s">
        <v>95</v>
      </c>
      <c r="AB2" s="7" t="s">
        <v>49</v>
      </c>
      <c r="AC2" s="7" t="s">
        <v>107</v>
      </c>
      <c r="AD2" s="7" t="s">
        <v>108</v>
      </c>
      <c r="AE2" s="7" t="str">
        <f>_xlfn.CONCAT(AC2," ",AD2)</f>
        <v>BTFWULH ABDGO</v>
      </c>
      <c r="AF2" s="7" t="s">
        <v>102</v>
      </c>
      <c r="AG2" s="7" t="s">
        <v>109</v>
      </c>
      <c r="AH2" s="7" t="s">
        <v>110</v>
      </c>
      <c r="AI2" s="7" t="s">
        <v>55</v>
      </c>
      <c r="AJ2" s="7" t="s">
        <v>111</v>
      </c>
      <c r="AK2" s="7" t="str">
        <f>AM2&amp;" - "&amp;AL2</f>
        <v>TESLA MODEL Y - CYP806</v>
      </c>
      <c r="AL2" s="7" t="s">
        <v>97</v>
      </c>
      <c r="AM2" s="7" t="s">
        <v>98</v>
      </c>
      <c r="AN2" s="7" t="s">
        <v>59</v>
      </c>
    </row>
    <row r="3" s="2" customFormat="1" ht="82.8" spans="1:40">
      <c r="A3" s="4" t="s">
        <v>60</v>
      </c>
      <c r="B3" s="4" t="s">
        <v>41</v>
      </c>
      <c r="C3" s="4" t="s">
        <v>61</v>
      </c>
      <c r="D3" s="4"/>
      <c r="E3" s="4" t="s">
        <v>62</v>
      </c>
      <c r="F3" s="4"/>
      <c r="G3" s="4"/>
      <c r="H3" s="4"/>
      <c r="I3" s="4" t="s">
        <v>43</v>
      </c>
      <c r="J3" s="4" t="s">
        <v>43</v>
      </c>
      <c r="K3" s="4" t="s">
        <v>43</v>
      </c>
      <c r="L3" s="4" t="s">
        <v>43</v>
      </c>
      <c r="M3" s="4" t="s">
        <v>43</v>
      </c>
      <c r="N3" s="4" t="s">
        <v>43</v>
      </c>
      <c r="O3" s="4" t="s">
        <v>43</v>
      </c>
      <c r="P3" s="4" t="s">
        <v>43</v>
      </c>
      <c r="Q3" s="4" t="s">
        <v>43</v>
      </c>
      <c r="R3" s="4" t="s">
        <v>43</v>
      </c>
      <c r="S3" s="4" t="s">
        <v>63</v>
      </c>
      <c r="T3" s="4" t="s">
        <v>64</v>
      </c>
      <c r="U3" s="4" t="s">
        <v>65</v>
      </c>
      <c r="V3" s="4" t="s">
        <v>66</v>
      </c>
      <c r="W3" s="4" t="s">
        <v>67</v>
      </c>
      <c r="X3" s="4" t="s">
        <v>68</v>
      </c>
      <c r="Y3" s="4" t="s">
        <v>69</v>
      </c>
      <c r="Z3" s="4" t="s">
        <v>70</v>
      </c>
      <c r="AA3" s="4" t="s">
        <v>71</v>
      </c>
      <c r="AB3" s="4" t="s">
        <v>72</v>
      </c>
      <c r="AC3" s="4" t="s">
        <v>73</v>
      </c>
      <c r="AD3" s="4" t="s">
        <v>74</v>
      </c>
      <c r="AE3" s="4" t="s">
        <v>75</v>
      </c>
      <c r="AF3" s="4" t="s">
        <v>76</v>
      </c>
      <c r="AG3" s="4" t="s">
        <v>77</v>
      </c>
      <c r="AH3" s="4" t="s">
        <v>78</v>
      </c>
      <c r="AI3" s="4" t="s">
        <v>79</v>
      </c>
      <c r="AJ3" s="4" t="s">
        <v>80</v>
      </c>
      <c r="AK3" s="4" t="s">
        <v>81</v>
      </c>
      <c r="AL3" s="4" t="s">
        <v>82</v>
      </c>
      <c r="AM3" s="4" t="s">
        <v>83</v>
      </c>
      <c r="AN3" s="4" t="s">
        <v>84</v>
      </c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2026-05-19T18:25:24Z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